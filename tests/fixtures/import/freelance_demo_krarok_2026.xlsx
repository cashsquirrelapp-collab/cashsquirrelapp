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bb259dd8a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ภาพรวม" sheetId="1" r:id="R35c60897adb34631"/>
    <x:sheet xmlns:r="http://schemas.openxmlformats.org/officeDocument/2006/relationships" name="งาน_รายรับ" sheetId="2" r:id="R561ec47df9714b3b"/>
    <x:sheet xmlns:r="http://schemas.openxmlformats.org/officeDocument/2006/relationships" name="รับชำระเงิน" sheetId="3" r:id="R62ad78aca1c14963"/>
    <x:sheet xmlns:r="http://schemas.openxmlformats.org/officeDocument/2006/relationships" name="รายจ่าย" sheetId="4" r:id="R50770d82b399457d"/>
    <x:sheet xmlns:r="http://schemas.openxmlformats.org/officeDocument/2006/relationships" name="ลูกค้า" sheetId="5" r:id="Rcd108a4e77ac4a46"/>
    <x:sheet xmlns:r="http://schemas.openxmlformats.org/officeDocument/2006/relationships" name="คู่มือ" sheetId="6" r:id="R9a5a3951386b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 mmm yyyy"/>
    <x:numFmt numFmtId="201" formatCode="#,##0.00 &quot;฿&quot;"/>
    <x:numFmt numFmtId="202" formatCode="0%"/>
    <x:numFmt numFmtId="203" formatCode="0.0%"/>
    <x:numFmt numFmtId="204" formatCode="0 &quot;งาน&quot;"/>
    <x:numFmt numFmtId="205" formatCode="mmm yyyy"/>
  </x:numFmts>
  <x:fonts count="18">
    <x:font>
      <x:sz val="11"/>
      <x:name val="Carlito"/>
    </x:font>
    <x:font>
      <x:b/>
      <x:sz val="10"/>
      <x:color rgb="FFFFFFFF"/>
      <x:name val="Carlito"/>
    </x:font>
    <x:font>
      <x:b/>
      <x:sz val="20"/>
      <x:color rgb="FFFFFFFF"/>
      <x:name val="Carlito"/>
    </x:font>
    <x:font>
      <x:sz val="11"/>
      <x:color rgb="FF84766B"/>
      <x:name val="Carlito"/>
    </x:font>
    <x:font>
      <x:b/>
      <x:sz val="10"/>
      <x:color rgb="FF312A24"/>
      <x:name val="Carlito"/>
    </x:font>
    <x:font>
      <x:b/>
      <x:sz val="20"/>
      <x:color rgb="FFD36A24"/>
      <x:name val="Carlito"/>
    </x:font>
    <x:font>
      <x:b/>
      <x:sz val="20"/>
      <x:color rgb="FF18794E"/>
      <x:name val="Carlito"/>
    </x:font>
    <x:font>
      <x:b/>
      <x:sz val="20"/>
      <x:color rgb="FFB83D35"/>
      <x:name val="Carlito"/>
    </x:font>
    <x:font>
      <x:b/>
      <x:sz val="20"/>
      <x:color rgb="FF312A24"/>
      <x:name val="Carlito"/>
    </x:font>
    <x:font>
      <x:b/>
      <x:sz val="12"/>
      <x:color rgb="FFFFFFFF"/>
      <x:name val="Carlito"/>
    </x:font>
    <x:font>
      <x:b/>
      <x:sz val="11"/>
      <x:color rgb="FF332C26"/>
      <x:name val="Carlito"/>
    </x:font>
    <x:font>
      <x:sz val="10"/>
      <x:color rgb="FF84766B"/>
      <x:name val="Carlito"/>
    </x:font>
    <x:font>
      <x:sz val="10"/>
      <x:color rgb="FF312A24"/>
      <x:name val="Carlito"/>
    </x:font>
    <x:font>
      <x:b/>
      <x:sz val="18"/>
      <x:color rgb="FFFFFFFF"/>
      <x:name val="Carlito"/>
    </x:font>
    <x:font>
      <x:b/>
      <x:sz val="11"/>
      <x:color rgb="FFA14B15"/>
      <x:name val="Carlito"/>
    </x:font>
    <x:font>
      <x:b/>
      <x:sz val="11"/>
      <x:color rgb="FFFFFFFF"/>
      <x:name val="Carlito"/>
    </x:font>
    <x:font>
      <x:b/>
      <x:sz val="11"/>
      <x:color rgb="FF312A24"/>
      <x:name val="Carlito"/>
    </x:font>
    <x:font>
      <x:sz val="10"/>
      <x:color rgb="FF332C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12A24"/>
      </x:patternFill>
    </x:fill>
    <x:fill>
      <x:patternFill patternType="solid">
        <x:fgColor rgb="FFFFF8EF"/>
      </x:patternFill>
    </x:fill>
    <x:fill>
      <x:patternFill patternType="solid">
        <x:fgColor rgb="FFFFFFFF"/>
      </x:patternFill>
    </x:fill>
    <x:fill>
      <x:patternFill patternType="solid">
        <x:fgColor rgb="FFF7E5D2"/>
      </x:patternFill>
    </x:fill>
    <x:fill>
      <x:patternFill patternType="solid">
        <x:fgColor rgb="FFFFF0E5"/>
      </x:patternFill>
    </x:fill>
    <x:fill>
      <x:patternFill patternType="solid">
        <x:fgColor rgb="FFD36A24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1" fontId="6" fillId="3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201" fontId="7" fillId="3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/>
    </x:xf>
    <x:xf numFmtId="201" fontId="8" fillId="3" borderId="0" xfId="0" applyNumberFormat="1" applyFont="1" applyFill="1" applyBorder="1" applyAlignment="1">
      <x:alignment vertical="center"/>
    </x:xf>
    <x:xf numFmtId="201" fontId="8" fillId="3" borderId="1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3" fontId="5" fillId="3" borderId="1" xfId="0" applyNumberFormat="1" applyFont="1" applyFill="1" applyBorder="1" applyAlignment="1">
      <x:alignment vertical="center"/>
    </x:xf>
    <x:xf numFmtId="204" fontId="8" fillId="3" borderId="0" xfId="0" applyNumberFormat="1" applyFont="1" applyFill="1" applyBorder="1" applyAlignment="1">
      <x:alignment vertical="center"/>
    </x:xf>
    <x:xf numFmtId="204" fontId="8" fillId="3" borderId="1" xfId="0" applyNumberFormat="1" applyFont="1" applyFill="1" applyBorder="1" applyAlignment="1">
      <x:alignment vertical="center"/>
    </x:xf>
    <x:xf numFmtId="204" fontId="7" fillId="3" borderId="0" xfId="0" applyNumberFormat="1" applyFont="1" applyFill="1" applyBorder="1" applyAlignment="1">
      <x:alignment vertical="center"/>
    </x:xf>
    <x:xf numFmtId="204" fontId="7" fillId="3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205" fontId="0" fillId="4" borderId="0" xfId="0" applyNumberFormat="1" applyFont="1" applyFill="1" applyBorder="1"/>
    <x:xf numFmtId="205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vertical="center"/>
    </x:xf>
    <x:xf numFmtId="0" fontId="13" fillId="2" borderId="1" xfId="0" applyNumberFormat="1" applyFont="1" applyFill="1" applyBorder="1"/>
    <x:xf numFmtId="0" fontId="13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4" fillId="6" borderId="0" xfId="0" applyNumberFormat="1" applyFont="1" applyFill="1" applyBorder="1"/>
    <x:xf numFmtId="0" fontId="0" fillId="6" borderId="1" xfId="0" applyNumberFormat="1" applyFont="1" applyFill="1" applyBorder="1"/>
    <x:xf numFmtId="0" fontId="14" fillId="6" borderId="1" xfId="0" applyNumberFormat="1" applyFont="1" applyFill="1" applyBorder="1"/>
    <x:xf numFmtId="0" fontId="0" fillId="7" borderId="0" xfId="0" applyNumberFormat="1" applyFont="1" applyFill="1" applyBorder="1"/>
    <x:xf numFmtId="0" fontId="15" fillId="7" borderId="0" xfId="0" applyNumberFormat="1" applyFont="1" applyFill="1" applyBorder="1"/>
    <x:xf numFmtId="0" fontId="0" fillId="7" borderId="1" xfId="0" applyNumberFormat="1" applyFont="1" applyFill="1" applyBorder="1"/>
    <x:xf numFmtId="0" fontId="15" fillId="7" borderId="1" xfId="0" applyNumberFormat="1" applyFont="1" applyFill="1" applyBorder="1"/>
    <x:xf numFmtId="0" fontId="16" fillId="3" borderId="0" xfId="0" applyNumberFormat="1" applyFont="1" applyFill="1" applyBorder="1"/>
    <x:xf numFmtId="0" fontId="16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5" fillId="2" borderId="0" xfId="0" applyNumberFormat="1" applyFont="1" applyFill="1" applyBorder="1"/>
    <x:xf numFmtId="0" fontId="15" fillId="2" borderId="1" xfId="0" applyNumberFormat="1" applyFont="1" applyFill="1" applyBorder="1"/>
    <x:xf numFmtId="0" fontId="17" fillId="4" borderId="0" xfId="0" applyNumberFormat="1" applyFont="1" applyFill="1" applyBorder="1"/>
    <x:xf numFmtId="0" fontId="17" fillId="4" borderId="0" xfId="0" applyNumberFormat="1" applyFont="1" applyFill="1" applyBorder="1" applyAlignment="1">
      <x:alignment wrapText="1"/>
    </x:xf>
    <x:xf numFmtId="0" fontId="17" fillId="4" borderId="1" xfId="0" applyNumberFormat="1" applyFont="1" applyFill="1" applyBorder="1"/>
    <x:xf numFmtId="0" fontId="17" fillId="4" borderId="1" xfId="0" applyNumberFormat="1" applyFont="1" applyFill="1" applyBorder="1" applyAlignment="1">
      <x:alignment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wrapText="1"/>
    </x:xf>
    <x:xf numFmtId="0" fontId="17" fillId="3" borderId="1" xfId="0" applyNumberFormat="1" applyFont="1" applyFill="1" applyBorder="1"/>
    <x:xf numFmtId="0" fontId="17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B83D35"/>
      </x:font>
    </x:dxf>
    <x:dxf>
      <x:font>
        <x:color rgb="FFB83D35"/>
      </x:font>
      <x:fill>
        <x:patternFill>
          <x:bgColor rgb="FFFCE2DC"/>
        </x:patternFill>
      </x:fill>
    </x:dxf>
    <x:dxf>
      <x:font>
        <x:color rgb="FF18794E"/>
      </x:font>
      <x:fill>
        <x:patternFill>
          <x:bgColor rgb="FFE3F2E7"/>
        </x:patternFill>
      </x:fill>
    </x:dxf>
    <x:dxf>
      <x:font>
        <x:color rgb="FFB83D3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e0f34ceb24d22" /><Relationship Type="http://schemas.openxmlformats.org/officeDocument/2006/relationships/theme" Target="/xl/theme/theme1.xml" Id="Ra2d4d3936a12412c" /><Relationship Type="http://schemas.openxmlformats.org/officeDocument/2006/relationships/sharedStrings" Target="/xl/sharedStrings.xml" Id="Rde226125deab4eb3" /><Relationship Type="http://schemas.openxmlformats.org/officeDocument/2006/relationships/worksheet" Target="/xl/worksheets/sheet1.xml" Id="R35c60897adb34631" /><Relationship Type="http://schemas.openxmlformats.org/officeDocument/2006/relationships/worksheet" Target="/xl/worksheets/sheet2.xml" Id="R561ec47df9714b3b" /><Relationship Type="http://schemas.openxmlformats.org/officeDocument/2006/relationships/worksheet" Target="/xl/worksheets/sheet3.xml" Id="R62ad78aca1c14963" /><Relationship Type="http://schemas.openxmlformats.org/officeDocument/2006/relationships/worksheet" Target="/xl/worksheets/sheet4.xml" Id="R50770d82b399457d" /><Relationship Type="http://schemas.openxmlformats.org/officeDocument/2006/relationships/worksheet" Target="/xl/worksheets/sheet5.xml" Id="Rcd108a4e77ac4a46" /><Relationship Type="http://schemas.openxmlformats.org/officeDocument/2006/relationships/worksheet" Target="/xl/worksheets/sheet6.xml" Id="R9a5a3951386b4d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c0b5475935499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รับเงินจริง</c:v>
          </c:tx>
          <c:cat>
            <c:strRef>
              <c:f>'ภาพรวม'!$A$17:$A$19</c:f>
              <c:strCache>
                <c:ptCount val="0"/>
              </c:strCache>
            </c:strRef>
          </c:cat>
          <c:val>
            <c:numRef>
              <c:f>'ภาพรวม'!$B$17:$B$19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รายจ่าย</c:v>
          </c:tx>
          <c:cat>
            <c:strRef>
              <c:f>'ภาพรวม'!$A$17:$A$19</c:f>
              <c:strCache>
                <c:ptCount val="0"/>
              </c:strCache>
            </c:strRef>
          </c:cat>
          <c:val>
            <c:numRef>
              <c:f>'ภาพรวม'!$C$17:$C$19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c0b547593549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sDemo" displayName="ProjectsDemo" ref="A1:O27" headerRowCount="1" totalsRowCount="0" totalsRowShown="0">
  <x:tableColumns count="15">
    <x:tableColumn id="1" name="รหัสงาน"/>
    <x:tableColumn id="2" name="ลูกค้า"/>
    <x:tableColumn id="3" name="ชื่องาน"/>
    <x:tableColumn id="4" name="ประเภทงาน"/>
    <x:tableColumn id="5" name="วันที่เริ่ม"/>
    <x:tableColumn id="6" name="วันที่ส่งงาน"/>
    <x:tableColumn id="7" name="เครดิตเทอม (วัน)"/>
    <x:tableColumn id="8" name="วันครบกำหนด (คำนวณ)"/>
    <x:tableColumn id="9" name="มูลค่างาน (บาท)"/>
    <x:tableColumn id="10" name="หัก ณ ที่จ่าย (%)"/>
    <x:tableColumn id="11" name="ยอดรับสุทธิ (คำนวณ)"/>
    <x:tableColumn id="12" name="รับแล้ว (คำนวณ)"/>
    <x:tableColumn id="13" name="ค้างรับ (คำนวณ)"/>
    <x:tableColumn id="14" name="สถานะ (คำนวณ)"/>
    <x:tableColumn id="15" name="หมายเหต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eiptsDemo" displayName="ReceiptsDemo" ref="A1:H17" headerRowCount="1" totalsRowCount="0" totalsRowShown="0">
  <x:tableColumns count="8">
    <x:tableColumn id="1" name="รหัสรับเงิน"/>
    <x:tableColumn id="2" name="รหัสงาน"/>
    <x:tableColumn id="3" name="ลูกค้า"/>
    <x:tableColumn id="4" name="วันที่รับเงิน"/>
    <x:tableColumn id="5" name="ช่องทางรับเงิน"/>
    <x:tableColumn id="6" name="จำนวนเงินสุทธิ (บาท)"/>
    <x:tableColumn id="7" name="อ้างอิงการชำระ"/>
    <x:tableColumn id="8" name="หมายเหต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ensesDemo" displayName="ExpensesDemo" ref="A1:H43" headerRowCount="1" totalsRowCount="0" totalsRowShown="0">
  <x:tableColumns count="8">
    <x:tableColumn id="1" name="รหัสรายจ่าย"/>
    <x:tableColumn id="2" name="วันที่จ่าย"/>
    <x:tableColumn id="3" name="หมวดหมู่"/>
    <x:tableColumn id="4" name="รายการ"/>
    <x:tableColumn id="5" name="จำนวนเงิน (บาท)"/>
    <x:tableColumn id="6" name="ช่องทางจ่าย"/>
    <x:tableColumn id="7" name="รหัสงานที่เกี่ยวข้อง"/>
    <x:tableColumn id="8" name="หมายเหต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ientsDemo" displayName="ClientsDemo" ref="A1:I11" headerRowCount="1" totalsRowCount="0" totalsRowShown="0">
  <x:tableColumns count="9">
    <x:tableColumn id="1" name="รหัสลูกค้า"/>
    <x:tableColumn id="2" name="ชื่อลูกค้า"/>
    <x:tableColumn id="3" name="ประเภทธุรกิจ"/>
    <x:tableColumn id="4" name="อีเมล (สมมติ)"/>
    <x:tableColumn id="5" name="เครดิตปกติ (วัน)"/>
    <x:tableColumn id="6" name="จำนวนงาน (คำนวณ)"/>
    <x:tableColumn id="7" name="มูลค่างาน (คำนวณ)"/>
    <x:tableColumn id="8" name="ค้างรับสุทธิ (คำนวณ)"/>
    <x:tableColumn id="9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321391d4ab4d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1d0a2211af4b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b2c9f1b9f843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4a845d73874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26228fba2643b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</x:cols>
  <x:sheetData>
    <x:row r="1" ht="29" customHeight="1">
      <x:c r="A1" s="25" t="str">
        <x:v>KRAROK  /  DEMO FINANCE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2" ht="29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</x:row>
    <x:row r="3" ht="27" customHeight="1">
      <x:c r="A3" s="28" t="str">
        <x:v>บัญชีจำลองสำหรับฟรีแลนซ์ • ข้อมูลสมมติทั้งหมด • ช่วงเดือน ส.ค.–ต.ค. 2569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 ht="23" customHeight="1">
      <x:c r="A5" s="32" t="str">
        <x:v>มูลค่างาน (ก่อนหักภาษี)</x:v>
      </x:c>
      <x:c r="B5" s="32"/>
      <x:c r="C5" s="32"/>
      <x:c r="D5" s="32" t="str">
        <x:v>เงินรับจริง (สุทธิ)</x:v>
      </x:c>
      <x:c r="E5" s="32"/>
      <x:c r="F5" s="32"/>
      <x:c r="G5" s="32" t="str">
        <x:v>รายจ่ายทั้งหมด</x:v>
      </x:c>
      <x:c r="H5" s="32"/>
      <x:c r="I5" s="32"/>
      <x:c r="J5" s="32" t="str">
        <x:v>ค้างรับสุทธิ</x:v>
      </x:c>
      <x:c r="K5" s="32"/>
      <x:c r="L5" s="32"/>
    </x:row>
    <x:row r="6" ht="23" customHeight="1">
      <x:c r="A6" s="40" t="n">
        <x:f>SUM('งาน_รายรับ'!I2:I100)</x:f>
        <x:v>250700</x:v>
      </x:c>
      <x:c r="B6" s="37"/>
      <x:c r="C6" s="37"/>
      <x:c r="D6" s="46" t="n">
        <x:f>SUM('รับชำระเงิน'!F2:F200)</x:f>
        <x:v>113364</x:v>
      </x:c>
      <x:c r="E6" s="43"/>
      <x:c r="F6" s="43"/>
      <x:c r="G6" s="52" t="n">
        <x:f>SUM('รายจ่าย'!E2:E200)</x:f>
        <x:v>37045</x:v>
      </x:c>
      <x:c r="H6" s="49"/>
      <x:c r="I6" s="49"/>
      <x:c r="J6" s="40" t="n">
        <x:f>SUM('งาน_รายรับ'!M2:M100)</x:f>
        <x:v>135036</x:v>
      </x:c>
      <x:c r="K6" s="37"/>
      <x:c r="L6" s="37"/>
    </x:row>
    <x:row r="7" ht="23" customHeight="1">
      <x:c r="A7" s="37"/>
      <x:c r="B7" s="37"/>
      <x:c r="C7" s="37"/>
      <x:c r="D7" s="43"/>
      <x:c r="E7" s="43"/>
      <x:c r="F7" s="43"/>
      <x:c r="G7" s="49"/>
      <x:c r="H7" s="49"/>
      <x:c r="I7" s="49"/>
      <x:c r="J7" s="37"/>
      <x:c r="K7" s="37"/>
      <x:c r="L7" s="37"/>
    </x:row>
    <x:row r="8" ht="23" customHeight="1">
      <x:c r="A8" s="37"/>
      <x:c r="B8" s="37"/>
      <x:c r="C8" s="37"/>
      <x:c r="D8" s="43"/>
      <x:c r="E8" s="43"/>
      <x:c r="F8" s="43"/>
      <x:c r="G8" s="49"/>
      <x:c r="H8" s="49"/>
      <x:c r="I8" s="49"/>
      <x:c r="J8" s="37"/>
      <x:c r="K8" s="37"/>
      <x:c r="L8" s="37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</x:row>
    <x:row r="10" ht="23" customHeight="1">
      <x:c r="A10" s="32" t="str">
        <x:v>เงินรับ - เงินจ่าย</x:v>
      </x:c>
      <x:c r="B10" s="32"/>
      <x:c r="C10" s="32"/>
      <x:c r="D10" s="32" t="str">
        <x:v>จำนวนโปรเจกต์</x:v>
      </x:c>
      <x:c r="E10" s="32"/>
      <x:c r="F10" s="32"/>
      <x:c r="G10" s="32" t="str">
        <x:v>งานเกินกำหนด</x:v>
      </x:c>
      <x:c r="H10" s="32"/>
      <x:c r="I10" s="32"/>
      <x:c r="J10" s="32" t="str">
        <x:v>เก็บเงินได้แล้ว (%)</x:v>
      </x:c>
      <x:c r="K10" s="32"/>
      <x:c r="L10" s="32"/>
    </x:row>
    <x:row r="11" ht="23" customHeight="1">
      <x:c r="A11" s="46" t="n">
        <x:f>D6-G6</x:f>
        <x:v>76319</x:v>
      </x:c>
      <x:c r="B11" s="43"/>
      <x:c r="C11" s="43"/>
      <x:c r="D11" s="62" t="n">
        <x:f>COUNTA('งาน_รายรับ'!A2:A100)</x:f>
        <x:v>26</x:v>
      </x:c>
      <x:c r="E11" s="55"/>
      <x:c r="F11" s="55"/>
      <x:c r="G11" s="64" t="n">
        <x:f>COUNTIF('งาน_รายรับ'!N2:N100,"เกินกำหนด")</x:f>
        <x:v>4</x:v>
      </x:c>
      <x:c r="H11" s="49"/>
      <x:c r="I11" s="49"/>
      <x:c r="J11" s="60" t="n">
        <x:f>IFERROR(D6/SUM('งาน_รายรับ'!K2:K100),0)</x:f>
        <x:v>0.4563768115942029</x:v>
      </x:c>
      <x:c r="K11" s="37"/>
      <x:c r="L11" s="37"/>
    </x:row>
    <x:row r="12" ht="23" customHeight="1">
      <x:c r="A12" s="43"/>
      <x:c r="B12" s="43"/>
      <x:c r="C12" s="43"/>
      <x:c r="D12" s="55"/>
      <x:c r="E12" s="55"/>
      <x:c r="F12" s="55"/>
      <x:c r="G12" s="49"/>
      <x:c r="H12" s="49"/>
      <x:c r="I12" s="49"/>
      <x:c r="J12" s="37"/>
      <x:c r="K12" s="37"/>
      <x:c r="L12" s="37"/>
    </x:row>
    <x:row r="13" ht="23" customHeight="1">
      <x:c r="A13" s="43"/>
      <x:c r="B13" s="43"/>
      <x:c r="C13" s="43"/>
      <x:c r="D13" s="55"/>
      <x:c r="E13" s="55"/>
      <x:c r="F13" s="55"/>
      <x:c r="G13" s="49"/>
      <x:c r="H13" s="49"/>
      <x:c r="I13" s="49"/>
      <x:c r="J13" s="37"/>
      <x:c r="K13" s="37"/>
      <x:c r="L13" s="37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</x:row>
    <x:row r="15" ht="27" customHeight="1">
      <x:c r="A15" s="66" t="str">
        <x:v>กระแสเงินสดรายเดือน</x:v>
      </x:c>
      <x:c r="B15" s="66"/>
      <x:c r="C15" s="66"/>
      <x:c r="D15" s="66"/>
      <x:c r="E15" s="22"/>
      <x:c r="F15" s="22"/>
      <x:c r="G15" s="22"/>
      <x:c r="H15" s="22"/>
      <x:c r="I15" s="22"/>
      <x:c r="J15" s="22"/>
      <x:c r="K15" s="22"/>
      <x:c r="L15" s="22"/>
    </x:row>
    <x:row r="16" ht="27" customHeight="1">
      <x:c r="A16" s="68" t="str">
        <x:v>เดือน</x:v>
      </x:c>
      <x:c r="B16" s="68" t="str">
        <x:v>รับเงินสุทธิ</x:v>
      </x:c>
      <x:c r="C16" s="68" t="str">
        <x:v>รายจ่าย</x:v>
      </x:c>
      <x:c r="D16" s="68" t="str">
        <x:v>เงินสดสุทธิ</x:v>
      </x:c>
      <x:c r="E16" s="22"/>
      <x:c r="F16" s="22"/>
      <x:c r="G16" s="22"/>
      <x:c r="H16" s="22"/>
      <x:c r="I16" s="22"/>
      <x:c r="J16" s="22"/>
      <x:c r="K16" s="22"/>
      <x:c r="L16" s="22"/>
    </x:row>
    <x:row r="17" ht="28" customHeight="1">
      <x:c r="A17" s="70" t="n">
        <x:v>46235</x:v>
      </x:c>
      <x:c r="B17" s="72" t="n">
        <x:f>SUMIFS('รับชำระเงิน'!$F$2:$F$200,'รับชำระเงิน'!$D$2:$D$200,"&gt;="&amp;A17,'รับชำระเงิน'!$D$2:$D$200,"&lt;"&amp;DATE(YEAR(A17),MONTH(A17)+1,1))</x:f>
        <x:v>40885</x:v>
      </x:c>
      <x:c r="C17" s="72" t="n">
        <x:f>SUMIFS('รายจ่าย'!$E$2:$E$200,'รายจ่าย'!$B$2:$B$200,"&gt;="&amp;A17,'รายจ่าย'!$B$2:$B$200,"&lt;"&amp;DATE(YEAR(A17),MONTH(A17)+1,1))</x:f>
        <x:v>14705</x:v>
      </x:c>
      <x:c r="D17" s="72" t="n">
        <x:f>B17-C17</x:f>
        <x:v>26180</x:v>
      </x:c>
      <x:c r="E17" s="22"/>
      <x:c r="F17" s="22"/>
      <x:c r="G17" s="22"/>
      <x:c r="H17" s="22"/>
      <x:c r="I17" s="22"/>
      <x:c r="J17" s="22"/>
      <x:c r="K17" s="22"/>
      <x:c r="L17" s="22"/>
    </x:row>
    <x:row r="18" ht="28" customHeight="1">
      <x:c r="A18" s="70" t="n">
        <x:v>46266</x:v>
      </x:c>
      <x:c r="B18" s="72" t="n">
        <x:f>SUMIFS('รับชำระเงิน'!$F$2:$F$200,'รับชำระเงิน'!$D$2:$D$200,"&gt;="&amp;A18,'รับชำระเงิน'!$D$2:$D$200,"&lt;"&amp;DATE(YEAR(A18),MONTH(A18)+1,1))</x:f>
        <x:v>32344</x:v>
      </x:c>
      <x:c r="C18" s="72" t="n">
        <x:f>SUMIFS('รายจ่าย'!$E$2:$E$200,'รายจ่าย'!$B$2:$B$200,"&gt;="&amp;A18,'รายจ่าย'!$B$2:$B$200,"&lt;"&amp;DATE(YEAR(A18),MONTH(A18)+1,1))</x:f>
        <x:v>12190</x:v>
      </x:c>
      <x:c r="D18" s="72" t="n">
        <x:f>B18-C18</x:f>
        <x:v>20154</x:v>
      </x:c>
      <x:c r="E18" s="22"/>
      <x:c r="F18" s="22"/>
      <x:c r="G18" s="22"/>
      <x:c r="H18" s="22"/>
      <x:c r="I18" s="22"/>
      <x:c r="J18" s="22"/>
      <x:c r="K18" s="22"/>
      <x:c r="L18" s="22"/>
    </x:row>
    <x:row r="19" ht="28" customHeight="1">
      <x:c r="A19" s="70" t="n">
        <x:v>46296</x:v>
      </x:c>
      <x:c r="B19" s="72" t="n">
        <x:f>SUMIFS('รับชำระเงิน'!$F$2:$F$200,'รับชำระเงิน'!$D$2:$D$200,"&gt;="&amp;A19,'รับชำระเงิน'!$D$2:$D$200,"&lt;"&amp;DATE(YEAR(A19),MONTH(A19)+1,1))</x:f>
        <x:v>40135</x:v>
      </x:c>
      <x:c r="C19" s="72" t="n">
        <x:f>SUMIFS('รายจ่าย'!$E$2:$E$200,'รายจ่าย'!$B$2:$B$200,"&gt;="&amp;A19,'รายจ่าย'!$B$2:$B$200,"&lt;"&amp;DATE(YEAR(A19),MONTH(A19)+1,1))</x:f>
        <x:v>10150</x:v>
      </x:c>
      <x:c r="D19" s="72" t="n">
        <x:f>B19-C19</x:f>
        <x:v>29985</x:v>
      </x:c>
      <x:c r="E19" s="22"/>
      <x:c r="F19" s="22"/>
      <x:c r="G19" s="22"/>
      <x:c r="H19" s="22"/>
      <x:c r="I19" s="22"/>
      <x:c r="J19" s="22"/>
      <x:c r="K19" s="22"/>
      <x:c r="L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</x:row>
    <x:row r="22" ht="27" customHeight="1">
      <x:c r="A22" s="66" t="str">
        <x:v>ค่าใช้จ่ายแยกตามหมวด</x:v>
      </x:c>
      <x:c r="B22" s="66"/>
      <x:c r="C22" s="66"/>
      <x:c r="D22" s="66"/>
      <x:c r="E22" s="22"/>
      <x:c r="F22" s="22"/>
      <x:c r="G22" s="22"/>
      <x:c r="H22" s="22"/>
      <x:c r="I22" s="22"/>
      <x:c r="J22" s="22"/>
      <x:c r="K22" s="22"/>
      <x:c r="L22" s="22"/>
    </x:row>
    <x:row r="23" ht="25" customHeight="1">
      <x:c r="A23" s="68" t="str">
        <x:v>หมวดหมู่</x:v>
      </x:c>
      <x:c r="B23" s="68"/>
      <x:c r="C23" s="68" t="str">
        <x:v>ยอดรวม</x:v>
      </x:c>
      <x:c r="D23" s="68"/>
      <x:c r="E23" s="22"/>
      <x:c r="F23" s="22"/>
      <x:c r="G23" s="22"/>
      <x:c r="H23" s="22"/>
      <x:c r="I23" s="22"/>
      <x:c r="J23" s="22"/>
      <x:c r="K23" s="22"/>
      <x:c r="L23" s="22"/>
    </x:row>
    <x:row r="24" ht="23" customHeight="1">
      <x:c r="A24" s="22" t="str">
        <x:v>ซอฟต์แวร์</x:v>
      </x:c>
      <x:c r="B24" s="22"/>
      <x:c r="C24" s="72" t="n">
        <x:f>SUMIF('รายจ่าย'!$C$2:$C$200,A24,'รายจ่าย'!$E$2:$E$200)</x:f>
        <x:v>8440</x:v>
      </x:c>
      <x:c r="D24" s="22"/>
      <x:c r="E24" s="22"/>
      <x:c r="F24" s="22"/>
      <x:c r="G24" s="22"/>
      <x:c r="H24" s="22"/>
      <x:c r="I24" s="22"/>
      <x:c r="J24" s="22"/>
      <x:c r="K24" s="22"/>
      <x:c r="L24" s="22"/>
    </x:row>
    <x:row r="25" ht="23" customHeight="1">
      <x:c r="A25" s="22" t="str">
        <x:v>อินเทอร์เน็ต</x:v>
      </x:c>
      <x:c r="B25" s="22"/>
      <x:c r="C25" s="72" t="n">
        <x:f>SUMIF('รายจ่าย'!$C$2:$C$200,A25,'รายจ่าย'!$E$2:$E$200)</x:f>
        <x:v>3335</x:v>
      </x:c>
      <x:c r="D25" s="22"/>
      <x:c r="E25" s="22"/>
      <x:c r="F25" s="22"/>
      <x:c r="G25" s="22"/>
      <x:c r="H25" s="22"/>
      <x:c r="I25" s="22"/>
      <x:c r="J25" s="22"/>
      <x:c r="K25" s="22"/>
      <x:c r="L25" s="22"/>
    </x:row>
    <x:row r="26" ht="23" customHeight="1">
      <x:c r="A26" s="22" t="str">
        <x:v>ค่าแรงทีม</x:v>
      </x:c>
      <x:c r="B26" s="22"/>
      <x:c r="C26" s="72" t="n">
        <x:f>SUMIF('รายจ่าย'!$C$2:$C$200,A26,'รายจ่าย'!$E$2:$E$200)</x:f>
        <x:v>12375</x:v>
      </x:c>
      <x:c r="D26" s="22"/>
      <x:c r="E26" s="22"/>
      <x:c r="F26" s="22"/>
      <x:c r="G26" s="22"/>
      <x:c r="H26" s="22"/>
      <x:c r="I26" s="22"/>
      <x:c r="J26" s="22"/>
      <x:c r="K26" s="22"/>
      <x:c r="L26" s="22"/>
    </x:row>
    <x:row r="27" ht="23" customHeight="1">
      <x:c r="A27" s="22" t="str">
        <x:v>เดินทาง</x:v>
      </x:c>
      <x:c r="B27" s="22"/>
      <x:c r="C27" s="72" t="n">
        <x:f>SUMIF('รายจ่าย'!$C$2:$C$200,A27,'รายจ่าย'!$E$2:$E$200)</x:f>
        <x:v>2125</x:v>
      </x:c>
      <x:c r="D27" s="22"/>
      <x:c r="E27" s="22"/>
      <x:c r="F27" s="22"/>
      <x:c r="G27" s="22"/>
      <x:c r="H27" s="22"/>
      <x:c r="I27" s="22"/>
      <x:c r="J27" s="22"/>
      <x:c r="K27" s="22"/>
      <x:c r="L27" s="22"/>
    </x:row>
    <x:row r="28" ht="23" customHeight="1">
      <x:c r="A28" s="22" t="str">
        <x:v>อุปกรณ์</x:v>
      </x:c>
      <x:c r="B28" s="22"/>
      <x:c r="C28" s="72" t="n">
        <x:f>SUMIF('รายจ่าย'!$C$2:$C$200,A28,'รายจ่าย'!$E$2:$E$200)</x:f>
        <x:v>7190</x:v>
      </x:c>
      <x:c r="D28" s="22"/>
      <x:c r="E28" s="22"/>
      <x:c r="F28" s="22"/>
      <x:c r="G28" s="22"/>
      <x:c r="H28" s="22"/>
      <x:c r="I28" s="22"/>
      <x:c r="J28" s="22"/>
      <x:c r="K28" s="22"/>
      <x:c r="L28" s="22"/>
    </x:row>
    <x:row r="29" ht="23" customHeight="1">
      <x:c r="A29" s="22" t="str">
        <x:v>โฆษณา</x:v>
      </x:c>
      <x:c r="B29" s="22"/>
      <x:c r="C29" s="72" t="n">
        <x:f>SUMIF('รายจ่าย'!$C$2:$C$200,A29,'รายจ่าย'!$E$2:$E$200)</x:f>
        <x:v>2625</x:v>
      </x:c>
      <x:c r="D29" s="22"/>
      <x:c r="E29" s="22"/>
      <x:c r="F29" s="22"/>
      <x:c r="G29" s="22"/>
      <x:c r="H29" s="22"/>
      <x:c r="I29" s="22"/>
      <x:c r="J29" s="22"/>
      <x:c r="K29" s="22"/>
      <x:c r="L29" s="22"/>
    </x:row>
    <x:row r="30" ht="23" customHeight="1">
      <x:c r="A30" s="22" t="str">
        <x:v>อื่น ๆ</x:v>
      </x:c>
      <x:c r="B30" s="22"/>
      <x:c r="C30" s="72" t="n">
        <x:f>SUMIF('รายจ่าย'!$C$2:$C$200,A30,'รายจ่าย'!$E$2:$E$200)</x:f>
        <x:v>955</x:v>
      </x:c>
      <x:c r="D30" s="22"/>
      <x:c r="E30" s="22"/>
      <x:c r="F30" s="22"/>
      <x:c r="G30" s="22"/>
      <x:c r="H30" s="22"/>
      <x:c r="I30" s="22"/>
      <x:c r="J30" s="22"/>
      <x:c r="K30" s="22"/>
      <x:c r="L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</x:row>
    <x:row r="33" ht="27" customHeight="1">
      <x:c r="A33" s="74" t="str">
        <x:v>หมายเหตุ: เงินสดสุทธิ = เงินรับเข้าจริง − เงินจ่ายจริง ไม่ใช่กำไรทางบัญชี</x:v>
      </x:c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</x:row>
    <x:row r="35" ht="26" customHeight="1">
      <x:c r="A35" s="76" t="str">
        <x:v>สำหรับการทดลองนำเข้า ให้ใช้ชีต งาน_รายรับ / รับชำระเงิน / รายจ่าย และอ่านคำแนะนำที่ชีต คู่มือ</x:v>
      </x:c>
      <x:c r="B35" s="76"/>
      <x:c r="C35" s="76"/>
      <x:c r="D35" s="76"/>
      <x:c r="E35" s="76"/>
      <x:c r="F35" s="76"/>
      <x:c r="G35" s="76"/>
      <x:c r="H35" s="76"/>
      <x:c r="I35" s="76"/>
      <x:c r="J35" s="76"/>
      <x:c r="K35" s="76"/>
      <x:c r="L35" s="76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A15:D15"/>
    <x:mergeCell ref="A22:D22"/>
    <x:mergeCell ref="A23:B23"/>
    <x:mergeCell ref="C23:D23"/>
    <x:mergeCell ref="A24:B24"/>
    <x:mergeCell ref="C24:D24"/>
    <x:mergeCell ref="A25:B25"/>
    <x:mergeCell ref="C25:D25"/>
    <x:mergeCell ref="A26:B26"/>
    <x:mergeCell ref="C26:D26"/>
    <x:mergeCell ref="A27:B27"/>
    <x:mergeCell ref="C27:D27"/>
    <x:mergeCell ref="A28:B28"/>
    <x:mergeCell ref="C28:D28"/>
    <x:mergeCell ref="A29:B29"/>
    <x:mergeCell ref="C29:D29"/>
    <x:mergeCell ref="A30:B30"/>
    <x:mergeCell ref="C30:D30"/>
    <x:mergeCell ref="A33:L33"/>
    <x:mergeCell ref="A35:L35"/>
  </x:mergeCells>
  <x:conditionalFormatting sqref="D17:D19">
    <x:cfRule type="cellIs" dxfId="3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8321391d4ab4d94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36" hidden="0" customWidth="1"/>
    <x:col min="4" max="4" width="19" hidden="0" customWidth="1"/>
    <x:col min="5" max="5" width="16" hidden="0" customWidth="1"/>
    <x:col min="6" max="6" width="16" hidden="0" customWidth="1"/>
    <x:col min="7" max="7" width="17" hidden="0" customWidth="1"/>
    <x:col min="8" max="8" width="20" hidden="0" customWidth="1"/>
    <x:col min="9" max="9" width="20" hidden="0" customWidth="1"/>
    <x:col min="10" max="10" width="18" hidden="0" customWidth="1"/>
    <x:col min="11" max="11" width="21" hidden="0" customWidth="1"/>
    <x:col min="12" max="12" width="20" hidden="0" customWidth="1"/>
    <x:col min="13" max="13" width="20" hidden="0" customWidth="1"/>
    <x:col min="14" max="14" width="21" hidden="0" customWidth="1"/>
    <x:col min="15" max="15" width="35" hidden="0" customWidth="1"/>
  </x:cols>
  <x:sheetData>
    <x:row r="1" ht="30" customHeight="1">
      <x:c r="A1" s="5" t="str">
        <x:v>รหัสงาน</x:v>
      </x:c>
      <x:c r="B1" s="5" t="str">
        <x:v>ลูกค้า</x:v>
      </x:c>
      <x:c r="C1" s="5" t="str">
        <x:v>ชื่องาน</x:v>
      </x:c>
      <x:c r="D1" s="5" t="str">
        <x:v>ประเภทงาน</x:v>
      </x:c>
      <x:c r="E1" s="5" t="str">
        <x:v>วันที่เริ่ม</x:v>
      </x:c>
      <x:c r="F1" s="5" t="str">
        <x:v>วันที่ส่งงาน</x:v>
      </x:c>
      <x:c r="G1" s="5" t="str">
        <x:v>เครดิตเทอม (วัน)</x:v>
      </x:c>
      <x:c r="H1" s="5" t="str">
        <x:v>วันครบกำหนด (คำนวณ)</x:v>
      </x:c>
      <x:c r="I1" s="5" t="str">
        <x:v>มูลค่างาน (บาท)</x:v>
      </x:c>
      <x:c r="J1" s="5" t="str">
        <x:v>หัก ณ ที่จ่าย (%)</x:v>
      </x:c>
      <x:c r="K1" s="5" t="str">
        <x:v>ยอดรับสุทธิ (คำนวณ)</x:v>
      </x:c>
      <x:c r="L1" s="5" t="str">
        <x:v>รับแล้ว (คำนวณ)</x:v>
      </x:c>
      <x:c r="M1" s="5" t="str">
        <x:v>ค้างรับ (คำนวณ)</x:v>
      </x:c>
      <x:c r="N1" s="5" t="str">
        <x:v>สถานะ (คำนวณ)</x:v>
      </x:c>
      <x:c r="O1" s="5" t="str">
        <x:v>หมายเหตุ</x:v>
      </x:c>
    </x:row>
    <x:row r="2">
      <x:c r="A2" t="str">
        <x:v>PRJ-2026001</x:v>
      </x:c>
      <x:c r="B2" t="str">
        <x:v>Aster Coffee</x:v>
      </x:c>
      <x:c r="C2" t="str">
        <x:v>ตัดต่อ Reels เปิดตัวเมนู</x:v>
      </x:c>
      <x:c r="D2" t="str">
        <x:v>ตัดต่อวิดีโอ</x:v>
      </x:c>
      <x:c r="E2" s="10" t="n">
        <x:v>46234</x:v>
      </x:c>
      <x:c r="F2" s="10" t="n">
        <x:v>46238</x:v>
      </x:c>
      <x:c r="G2" t="n">
        <x:v>30</x:v>
      </x:c>
      <x:c r="H2" s="16" t="n">
        <x:f>IF(F2="","",F2+G2)</x:f>
        <x:v>46268</x:v>
      </x:c>
      <x:c r="I2" s="12" t="n">
        <x:v>4500</x:v>
      </x:c>
      <x:c r="J2" s="14" t="n">
        <x:v>0.01</x:v>
      </x:c>
      <x:c r="K2" s="18" t="n">
        <x:f>ROUND(I2*(1-J2),2)</x:f>
        <x:v>4455</x:v>
      </x:c>
      <x:c r="L2" s="18" t="n">
        <x:f>SUMIF('รับชำระเงิน'!$B$2:$B$200,A2,'รับชำระเงิน'!$F$2:$F$200)</x:f>
        <x:v>4455</x:v>
      </x:c>
      <x:c r="M2" s="18" t="n">
        <x:f>MAX(0,K2-L2)</x:f>
        <x:v>0</x:v>
      </x:c>
      <x:c r="N2" s="19" t="str">
        <x:f>IF(M2&lt;=0,"รับครบ",IF(H2&lt;TODAY(),"เกินกำหนด",IF(H2-TODAY()&lt;=7,"ใกล้ครบกำหนด","รอรับเงิน")))</x:f>
        <x:v>รับครบ</x:v>
      </x:c>
      <x:c r="O2" t="str">
        <x:v>ข้อมูลสมมติสำหรับทดสอบนำเข้า</x:v>
      </x:c>
    </x:row>
    <x:row r="3">
      <x:c r="A3" t="str">
        <x:v>PRJ-2026002</x:v>
      </x:c>
      <x:c r="B3" t="str">
        <x:v>Northstar Studio</x:v>
      </x:c>
      <x:c r="C3" t="str">
        <x:v>Motion Graphic แคมเปญ</x:v>
      </x:c>
      <x:c r="D3" t="str">
        <x:v>โมชั่นกราฟิก</x:v>
      </x:c>
      <x:c r="E3" s="10" t="n">
        <x:v>46234</x:v>
      </x:c>
      <x:c r="F3" s="10" t="n">
        <x:v>46241</x:v>
      </x:c>
      <x:c r="G3" t="n">
        <x:v>45</x:v>
      </x:c>
      <x:c r="H3" s="16" t="n">
        <x:f>IF(F3="","",F3+G3)</x:f>
        <x:v>46286</x:v>
      </x:c>
      <x:c r="I3" s="12" t="n">
        <x:v>18000</x:v>
      </x:c>
      <x:c r="J3" s="14" t="n">
        <x:v>0.01</x:v>
      </x:c>
      <x:c r="K3" s="18" t="n">
        <x:f>ROUND(I3*(1-J3),2)</x:f>
        <x:v>17820</x:v>
      </x:c>
      <x:c r="L3" s="18" t="n">
        <x:f>SUMIF('รับชำระเงิน'!$B$2:$B$200,A3,'รับชำระเงิน'!$F$2:$F$200)</x:f>
        <x:v>17820</x:v>
      </x:c>
      <x:c r="M3" s="18" t="n">
        <x:f>MAX(0,K3-L3)</x:f>
        <x:v>0</x:v>
      </x:c>
      <x:c r="N3" s="19" t="str">
        <x:f>IF(M3&lt;=0,"รับครบ",IF(H3&lt;TODAY(),"เกินกำหนด",IF(H3-TODAY()&lt;=7,"ใกล้ครบกำหนด","รอรับเงิน")))</x:f>
        <x:v>รับครบ</x:v>
      </x:c>
      <x:c r="O3" t="str">
        <x:v>ข้อมูลสมมติสำหรับทดสอบนำเข้า</x:v>
      </x:c>
    </x:row>
    <x:row r="4">
      <x:c r="A4" t="str">
        <x:v>PRJ-2026003</x:v>
      </x:c>
      <x:c r="B4" t="str">
        <x:v>Mellow Living</x:v>
      </x:c>
      <x:c r="C4" t="str">
        <x:v>รีวิวสินค้า 3 คลิป</x:v>
      </x:c>
      <x:c r="D4" t="str">
        <x:v>ผลิตคอนเทนต์</x:v>
      </x:c>
      <x:c r="E4" s="10" t="n">
        <x:v>46238</x:v>
      </x:c>
      <x:c r="F4" s="10" t="n">
        <x:v>46244</x:v>
      </x:c>
      <x:c r="G4" t="n">
        <x:v>30</x:v>
      </x:c>
      <x:c r="H4" s="16" t="n">
        <x:f>IF(F4="","",F4+G4)</x:f>
        <x:v>46274</x:v>
      </x:c>
      <x:c r="I4" s="12" t="n">
        <x:v>9000</x:v>
      </x:c>
      <x:c r="J4" s="14" t="n">
        <x:v>0.01</x:v>
      </x:c>
      <x:c r="K4" s="18" t="n">
        <x:f>ROUND(I4*(1-J4),2)</x:f>
        <x:v>8910</x:v>
      </x:c>
      <x:c r="L4" s="18" t="n">
        <x:f>SUMIF('รับชำระเงิน'!$B$2:$B$200,A4,'รับชำระเงิน'!$F$2:$F$200)</x:f>
        <x:v>8910</x:v>
      </x:c>
      <x:c r="M4" s="18" t="n">
        <x:f>MAX(0,K4-L4)</x:f>
        <x:v>0</x:v>
      </x:c>
      <x:c r="N4" s="19" t="str">
        <x:f>IF(M4&lt;=0,"รับครบ",IF(H4&lt;TODAY(),"เกินกำหนด",IF(H4-TODAY()&lt;=7,"ใกล้ครบกำหนด","รอรับเงิน")))</x:f>
        <x:v>รับครบ</x:v>
      </x:c>
      <x:c r="O4" t="str">
        <x:v>ข้อมูลสมมติสำหรับทดสอบนำเข้า</x:v>
      </x:c>
    </x:row>
    <x:row r="5">
      <x:c r="A5" t="str">
        <x:v>PRJ-2026004</x:v>
      </x:c>
      <x:c r="B5" t="str">
        <x:v>Bloom Beauty</x:v>
      </x:c>
      <x:c r="C5" t="str">
        <x:v>โฆษณาสั้น 15 วินาที</x:v>
      </x:c>
      <x:c r="D5" t="str">
        <x:v>ตัดต่อวิดีโอ</x:v>
      </x:c>
      <x:c r="E5" s="10" t="n">
        <x:v>46244</x:v>
      </x:c>
      <x:c r="F5" s="10" t="n">
        <x:v>46248</x:v>
      </x:c>
      <x:c r="G5" t="n">
        <x:v>60</x:v>
      </x:c>
      <x:c r="H5" s="16" t="n">
        <x:f>IF(F5="","",F5+G5)</x:f>
        <x:v>46308</x:v>
      </x:c>
      <x:c r="I5" s="12" t="n">
        <x:v>7500</x:v>
      </x:c>
      <x:c r="J5" s="14" t="n">
        <x:v>0.01</x:v>
      </x:c>
      <x:c r="K5" s="18" t="n">
        <x:f>ROUND(I5*(1-J5),2)</x:f>
        <x:v>7425</x:v>
      </x:c>
      <x:c r="L5" s="18" t="n">
        <x:f>SUMIF('รับชำระเงิน'!$B$2:$B$200,A5,'รับชำระเงิน'!$F$2:$F$200)</x:f>
        <x:v>0</x:v>
      </x:c>
      <x:c r="M5" s="18" t="n">
        <x:f>MAX(0,K5-L5)</x:f>
        <x:v>7425</x:v>
      </x:c>
      <x:c r="N5" s="19" t="str">
        <x:f>IF(M5&lt;=0,"รับครบ",IF(H5&lt;TODAY(),"เกินกำหนด",IF(H5-TODAY()&lt;=7,"ใกล้ครบกำหนด","รอรับเงิน")))</x:f>
        <x:v>เกินกำหนด</x:v>
      </x:c>
      <x:c r="O5" t="str">
        <x:v>ข้อมูลสมมติสำหรับทดสอบนำเข้า</x:v>
      </x:c>
    </x:row>
    <x:row r="6">
      <x:c r="A6" t="str">
        <x:v>PRJ-2026005</x:v>
      </x:c>
      <x:c r="B6" t="str">
        <x:v>Greenroot Market</x:v>
      </x:c>
      <x:c r="C6" t="str">
        <x:v>ถ่ายและตัดคลิปบรรยากาศร้าน</x:v>
      </x:c>
      <x:c r="D6" t="str">
        <x:v>ผลิตคอนเทนต์</x:v>
      </x:c>
      <x:c r="E6" s="10" t="n">
        <x:v>46240</x:v>
      </x:c>
      <x:c r="F6" s="10" t="n">
        <x:v>46251</x:v>
      </x:c>
      <x:c r="G6" t="n">
        <x:v>0</x:v>
      </x:c>
      <x:c r="H6" s="16" t="n">
        <x:f>IF(F6="","",F6+G6)</x:f>
        <x:v>46251</x:v>
      </x:c>
      <x:c r="I6" s="12" t="n">
        <x:v>6500</x:v>
      </x:c>
      <x:c r="J6" s="14" t="n">
        <x:v>0</x:v>
      </x:c>
      <x:c r="K6" s="18" t="n">
        <x:f>ROUND(I6*(1-J6),2)</x:f>
        <x:v>6500</x:v>
      </x:c>
      <x:c r="L6" s="18" t="n">
        <x:f>SUMIF('รับชำระเงิน'!$B$2:$B$200,A6,'รับชำระเงิน'!$F$2:$F$200)</x:f>
        <x:v>6500</x:v>
      </x:c>
      <x:c r="M6" s="18" t="n">
        <x:f>MAX(0,K6-L6)</x:f>
        <x:v>0</x:v>
      </x:c>
      <x:c r="N6" s="19" t="str">
        <x:f>IF(M6&lt;=0,"รับครบ",IF(H6&lt;TODAY(),"เกินกำหนด",IF(H6-TODAY()&lt;=7,"ใกล้ครบกำหนด","รอรับเงิน")))</x:f>
        <x:v>รับครบ</x:v>
      </x:c>
      <x:c r="O6" t="str">
        <x:v>ข้อมูลสมมติสำหรับทดสอบนำเข้า</x:v>
      </x:c>
    </x:row>
    <x:row r="7">
      <x:c r="A7" t="str">
        <x:v>PRJ-2026006</x:v>
      </x:c>
      <x:c r="B7" t="str">
        <x:v>Cloudnine Tech</x:v>
      </x:c>
      <x:c r="C7" t="str">
        <x:v>ออกแบบ Landing Page</x:v>
      </x:c>
      <x:c r="D7" t="str">
        <x:v>ออกแบบเว็บไซต์</x:v>
      </x:c>
      <x:c r="E7" s="10" t="n">
        <x:v>46251</x:v>
      </x:c>
      <x:c r="F7" s="10" t="n">
        <x:v>46255</x:v>
      </x:c>
      <x:c r="G7" t="n">
        <x:v>45</x:v>
      </x:c>
      <x:c r="H7" s="16" t="n">
        <x:f>IF(F7="","",F7+G7)</x:f>
        <x:v>46300</x:v>
      </x:c>
      <x:c r="I7" s="12" t="n">
        <x:v>24000</x:v>
      </x:c>
      <x:c r="J7" s="14" t="n">
        <x:v>0.01</x:v>
      </x:c>
      <x:c r="K7" s="18" t="n">
        <x:f>ROUND(I7*(1-J7),2)</x:f>
        <x:v>23760</x:v>
      </x:c>
      <x:c r="L7" s="18" t="n">
        <x:f>SUMIF('รับชำระเงิน'!$B$2:$B$200,A7,'รับชำระเงิน'!$F$2:$F$200)</x:f>
        <x:v>11880</x:v>
      </x:c>
      <x:c r="M7" s="18" t="n">
        <x:f>MAX(0,K7-L7)</x:f>
        <x:v>11880</x:v>
      </x:c>
      <x:c r="N7" s="19" t="str">
        <x:f>IF(M7&lt;=0,"รับครบ",IF(H7&lt;TODAY(),"เกินกำหนด",IF(H7-TODAY()&lt;=7,"ใกล้ครบกำหนด","รอรับเงิน")))</x:f>
        <x:v>เกินกำหนด</x:v>
      </x:c>
      <x:c r="O7" t="str">
        <x:v>ข้อมูลสมมติสำหรับทดสอบนำเข้า</x:v>
      </x:c>
    </x:row>
    <x:row r="8">
      <x:c r="A8" t="str">
        <x:v>PRJ-2026007</x:v>
      </x:c>
      <x:c r="B8" t="str">
        <x:v>Urban Motion</x:v>
      </x:c>
      <x:c r="C8" t="str">
        <x:v>วิดีโอโปรโมตคอลเลกชัน</x:v>
      </x:c>
      <x:c r="D8" t="str">
        <x:v>ตัดต่อวิดีโอ</x:v>
      </x:c>
      <x:c r="E8" s="10" t="n">
        <x:v>46251</x:v>
      </x:c>
      <x:c r="F8" s="10" t="n">
        <x:v>46260</x:v>
      </x:c>
      <x:c r="G8" t="n">
        <x:v>30</x:v>
      </x:c>
      <x:c r="H8" s="16" t="n">
        <x:f>IF(F8="","",F8+G8)</x:f>
        <x:v>46290</x:v>
      </x:c>
      <x:c r="I8" s="12" t="n">
        <x:v>5200</x:v>
      </x:c>
      <x:c r="J8" s="14" t="n">
        <x:v>0.01</x:v>
      </x:c>
      <x:c r="K8" s="18" t="n">
        <x:f>ROUND(I8*(1-J8),2)</x:f>
        <x:v>5148</x:v>
      </x:c>
      <x:c r="L8" s="18" t="n">
        <x:f>SUMIF('รับชำระเงิน'!$B$2:$B$200,A8,'รับชำระเงิน'!$F$2:$F$200)</x:f>
        <x:v>5148</x:v>
      </x:c>
      <x:c r="M8" s="18" t="n">
        <x:f>MAX(0,K8-L8)</x:f>
        <x:v>0</x:v>
      </x:c>
      <x:c r="N8" s="19" t="str">
        <x:f>IF(M8&lt;=0,"รับครบ",IF(H8&lt;TODAY(),"เกินกำหนด",IF(H8-TODAY()&lt;=7,"ใกล้ครบกำหนด","รอรับเงิน")))</x:f>
        <x:v>รับครบ</x:v>
      </x:c>
      <x:c r="O8" t="str">
        <x:v>ข้อมูลสมมติสำหรับทดสอบนำเข้า</x:v>
      </x:c>
    </x:row>
    <x:row r="9">
      <x:c r="A9" t="str">
        <x:v>PRJ-2026008</x:v>
      </x:c>
      <x:c r="B9" t="str">
        <x:v>Little Planet</x:v>
      </x:c>
      <x:c r="C9" t="str">
        <x:v>อินโฟกราฟิกคอร์สออนไลน์</x:v>
      </x:c>
      <x:c r="D9" t="str">
        <x:v>ออกแบบกราฟิก</x:v>
      </x:c>
      <x:c r="E9" s="10" t="n">
        <x:v>46260</x:v>
      </x:c>
      <x:c r="F9" s="10" t="n">
        <x:v>46263</x:v>
      </x:c>
      <x:c r="G9" t="n">
        <x:v>0</x:v>
      </x:c>
      <x:c r="H9" s="16" t="n">
        <x:f>IF(F9="","",F9+G9)</x:f>
        <x:v>46263</x:v>
      </x:c>
      <x:c r="I9" s="12" t="n">
        <x:v>3200</x:v>
      </x:c>
      <x:c r="J9" s="14" t="n">
        <x:v>0</x:v>
      </x:c>
      <x:c r="K9" s="18" t="n">
        <x:f>ROUND(I9*(1-J9),2)</x:f>
        <x:v>3200</x:v>
      </x:c>
      <x:c r="L9" s="18" t="n">
        <x:f>SUMIF('รับชำระเงิน'!$B$2:$B$200,A9,'รับชำระเงิน'!$F$2:$F$200)</x:f>
        <x:v>3200</x:v>
      </x:c>
      <x:c r="M9" s="18" t="n">
        <x:f>MAX(0,K9-L9)</x:f>
        <x:v>0</x:v>
      </x:c>
      <x:c r="N9" s="19" t="str">
        <x:f>IF(M9&lt;=0,"รับครบ",IF(H9&lt;TODAY(),"เกินกำหนด",IF(H9-TODAY()&lt;=7,"ใกล้ครบกำหนด","รอรับเงิน")))</x:f>
        <x:v>รับครบ</x:v>
      </x:c>
      <x:c r="O9" t="str">
        <x:v>ข้อมูลสมมติสำหรับทดสอบนำเข้า</x:v>
      </x:c>
    </x:row>
    <x:row r="10">
      <x:c r="A10" t="str">
        <x:v>PRJ-2026009</x:v>
      </x:c>
      <x:c r="B10" t="str">
        <x:v>Sunny Weekend</x:v>
      </x:c>
      <x:c r="C10" t="str">
        <x:v>ตัดต่อ Vlog ท่องเที่ยว</x:v>
      </x:c>
      <x:c r="D10" t="str">
        <x:v>ตัดต่อวิดีโอ</x:v>
      </x:c>
      <x:c r="E10" s="10" t="n">
        <x:v>46263</x:v>
      </x:c>
      <x:c r="F10" s="10" t="n">
        <x:v>46267</x:v>
      </x:c>
      <x:c r="G10" t="n">
        <x:v>60</x:v>
      </x:c>
      <x:c r="H10" s="16" t="n">
        <x:f>IF(F10="","",F10+G10)</x:f>
        <x:v>46327</x:v>
      </x:c>
      <x:c r="I10" s="12" t="n">
        <x:v>6500</x:v>
      </x:c>
      <x:c r="J10" s="14" t="n">
        <x:v>0.01</x:v>
      </x:c>
      <x:c r="K10" s="18" t="n">
        <x:f>ROUND(I10*(1-J10),2)</x:f>
        <x:v>6435</x:v>
      </x:c>
      <x:c r="L10" s="18" t="n">
        <x:f>SUMIF('รับชำระเงิน'!$B$2:$B$200,A10,'รับชำระเงิน'!$F$2:$F$200)</x:f>
        <x:v>0</x:v>
      </x:c>
      <x:c r="M10" s="18" t="n">
        <x:f>MAX(0,K10-L10)</x:f>
        <x:v>6435</x:v>
      </x:c>
      <x:c r="N10" s="19" t="str">
        <x:f>IF(M10&lt;=0,"รับครบ",IF(H10&lt;TODAY(),"เกินกำหนด",IF(H10-TODAY()&lt;=7,"ใกล้ครบกำหนด","รอรับเงิน")))</x:f>
        <x:v>ใกล้ครบกำหนด</x:v>
      </x:c>
      <x:c r="O10" t="str">
        <x:v>ข้อมูลสมมติสำหรับทดสอบนำเข้า</x:v>
      </x:c>
    </x:row>
    <x:row r="11">
      <x:c r="A11" t="str">
        <x:v>PRJ-2026010</x:v>
      </x:c>
      <x:c r="B11" t="str">
        <x:v>Sora Home</x:v>
      </x:c>
      <x:c r="C11" t="str">
        <x:v>ออกแบบแบนเนอร์ 5 ชิ้น</x:v>
      </x:c>
      <x:c r="D11" t="str">
        <x:v>ออกแบบกราฟิก</x:v>
      </x:c>
      <x:c r="E11" s="10" t="n">
        <x:v>46264</x:v>
      </x:c>
      <x:c r="F11" s="10" t="n">
        <x:v>46270</x:v>
      </x:c>
      <x:c r="G11" t="n">
        <x:v>30</x:v>
      </x:c>
      <x:c r="H11" s="16" t="n">
        <x:f>IF(F11="","",F11+G11)</x:f>
        <x:v>46300</x:v>
      </x:c>
      <x:c r="I11" s="12" t="n">
        <x:v>5000</x:v>
      </x:c>
      <x:c r="J11" s="14" t="n">
        <x:v>0.01</x:v>
      </x:c>
      <x:c r="K11" s="18" t="n">
        <x:f>ROUND(I11*(1-J11),2)</x:f>
        <x:v>4950</x:v>
      </x:c>
      <x:c r="L11" s="18" t="n">
        <x:f>SUMIF('รับชำระเงิน'!$B$2:$B$200,A11,'รับชำระเงิน'!$F$2:$F$200)</x:f>
        <x:v>4950</x:v>
      </x:c>
      <x:c r="M11" s="18" t="n">
        <x:f>MAX(0,K11-L11)</x:f>
        <x:v>0</x:v>
      </x:c>
      <x:c r="N11" s="19" t="str">
        <x:f>IF(M11&lt;=0,"รับครบ",IF(H11&lt;TODAY(),"เกินกำหนด",IF(H11-TODAY()&lt;=7,"ใกล้ครบกำหนด","รอรับเงิน")))</x:f>
        <x:v>รับครบ</x:v>
      </x:c>
      <x:c r="O11" t="str">
        <x:v>ข้อมูลสมมติสำหรับทดสอบนำเข้า</x:v>
      </x:c>
    </x:row>
    <x:row r="12">
      <x:c r="A12" t="str">
        <x:v>PRJ-2026011</x:v>
      </x:c>
      <x:c r="B12" t="str">
        <x:v>Aster Coffee</x:v>
      </x:c>
      <x:c r="C12" t="str">
        <x:v>ตัดต่อ Shorts รายเดือน</x:v>
      </x:c>
      <x:c r="D12" t="str">
        <x:v>ตัดต่อวิดีโอ</x:v>
      </x:c>
      <x:c r="E12" s="10" t="n">
        <x:v>46262</x:v>
      </x:c>
      <x:c r="F12" s="10" t="n">
        <x:v>46273</x:v>
      </x:c>
      <x:c r="G12" t="n">
        <x:v>30</x:v>
      </x:c>
      <x:c r="H12" s="16" t="n">
        <x:f>IF(F12="","",F12+G12)</x:f>
        <x:v>46303</x:v>
      </x:c>
      <x:c r="I12" s="12" t="n">
        <x:v>12000</x:v>
      </x:c>
      <x:c r="J12" s="14" t="n">
        <x:v>0.01</x:v>
      </x:c>
      <x:c r="K12" s="18" t="n">
        <x:f>ROUND(I12*(1-J12),2)</x:f>
        <x:v>11880</x:v>
      </x:c>
      <x:c r="L12" s="18" t="n">
        <x:f>SUMIF('รับชำระเงิน'!$B$2:$B$200,A12,'รับชำระเงิน'!$F$2:$F$200)</x:f>
        <x:v>11880</x:v>
      </x:c>
      <x:c r="M12" s="18" t="n">
        <x:f>MAX(0,K12-L12)</x:f>
        <x:v>0</x:v>
      </x:c>
      <x:c r="N12" s="19" t="str">
        <x:f>IF(M12&lt;=0,"รับครบ",IF(H12&lt;TODAY(),"เกินกำหนด",IF(H12-TODAY()&lt;=7,"ใกล้ครบกำหนด","รอรับเงิน")))</x:f>
        <x:v>รับครบ</x:v>
      </x:c>
      <x:c r="O12" t="str">
        <x:v>ข้อมูลสมมติสำหรับทดสอบนำเข้า</x:v>
      </x:c>
    </x:row>
    <x:row r="13">
      <x:c r="A13" t="str">
        <x:v>PRJ-2026012</x:v>
      </x:c>
      <x:c r="B13" t="str">
        <x:v>Northstar Studio</x:v>
      </x:c>
      <x:c r="C13" t="str">
        <x:v>โมชั่นโลโก้แบรนด์</x:v>
      </x:c>
      <x:c r="D13" t="str">
        <x:v>โมชั่นกราฟิก</x:v>
      </x:c>
      <x:c r="E13" s="10" t="n">
        <x:v>46273</x:v>
      </x:c>
      <x:c r="F13" s="10" t="n">
        <x:v>46276</x:v>
      </x:c>
      <x:c r="G13" t="n">
        <x:v>45</x:v>
      </x:c>
      <x:c r="H13" s="16" t="n">
        <x:f>IF(F13="","",F13+G13)</x:f>
        <x:v>46321</x:v>
      </x:c>
      <x:c r="I13" s="12" t="n">
        <x:v>6800</x:v>
      </x:c>
      <x:c r="J13" s="14" t="n">
        <x:v>0.01</x:v>
      </x:c>
      <x:c r="K13" s="18" t="n">
        <x:f>ROUND(I13*(1-J13),2)</x:f>
        <x:v>6732</x:v>
      </x:c>
      <x:c r="L13" s="18" t="n">
        <x:f>SUMIF('รับชำระเงิน'!$B$2:$B$200,A13,'รับชำระเงิน'!$F$2:$F$200)</x:f>
        <x:v>3366</x:v>
      </x:c>
      <x:c r="M13" s="18" t="n">
        <x:f>MAX(0,K13-L13)</x:f>
        <x:v>3366</x:v>
      </x:c>
      <x:c r="N13" s="19" t="str">
        <x:f>IF(M13&lt;=0,"รับครบ",IF(H13&lt;TODAY(),"เกินกำหนด",IF(H13-TODAY()&lt;=7,"ใกล้ครบกำหนด","รอรับเงิน")))</x:f>
        <x:v>เกินกำหนด</x:v>
      </x:c>
      <x:c r="O13" t="str">
        <x:v>ข้อมูลสมมติสำหรับทดสอบนำเข้า</x:v>
      </x:c>
    </x:row>
    <x:row r="14">
      <x:c r="A14" t="str">
        <x:v>PRJ-2026013</x:v>
      </x:c>
      <x:c r="B14" t="str">
        <x:v>Mellow Living</x:v>
      </x:c>
      <x:c r="C14" t="str">
        <x:v>คลิปรีวิวแคมเปญ 2</x:v>
      </x:c>
      <x:c r="D14" t="str">
        <x:v>ผลิตคอนเทนต์</x:v>
      </x:c>
      <x:c r="E14" s="10" t="n">
        <x:v>46274</x:v>
      </x:c>
      <x:c r="F14" s="10" t="n">
        <x:v>46280</x:v>
      </x:c>
      <x:c r="G14" t="n">
        <x:v>30</x:v>
      </x:c>
      <x:c r="H14" s="16" t="n">
        <x:f>IF(F14="","",F14+G14)</x:f>
        <x:v>46310</x:v>
      </x:c>
      <x:c r="I14" s="12" t="n">
        <x:v>8000</x:v>
      </x:c>
      <x:c r="J14" s="14" t="n">
        <x:v>0.01</x:v>
      </x:c>
      <x:c r="K14" s="18" t="n">
        <x:f>ROUND(I14*(1-J14),2)</x:f>
        <x:v>7920</x:v>
      </x:c>
      <x:c r="L14" s="18" t="n">
        <x:f>SUMIF('รับชำระเงิน'!$B$2:$B$200,A14,'รับชำระเงิน'!$F$2:$F$200)</x:f>
        <x:v>7920</x:v>
      </x:c>
      <x:c r="M14" s="18" t="n">
        <x:f>MAX(0,K14-L14)</x:f>
        <x:v>0</x:v>
      </x:c>
      <x:c r="N14" s="19" t="str">
        <x:f>IF(M14&lt;=0,"รับครบ",IF(H14&lt;TODAY(),"เกินกำหนด",IF(H14-TODAY()&lt;=7,"ใกล้ครบกำหนด","รอรับเงิน")))</x:f>
        <x:v>รับครบ</x:v>
      </x:c>
      <x:c r="O14" t="str">
        <x:v>ข้อมูลสมมติสำหรับทดสอบนำเข้า</x:v>
      </x:c>
    </x:row>
    <x:row r="15">
      <x:c r="A15" t="str">
        <x:v>PRJ-2026014</x:v>
      </x:c>
      <x:c r="B15" t="str">
        <x:v>Bloom Beauty</x:v>
      </x:c>
      <x:c r="C15" t="str">
        <x:v>Social Ads 4 เวอร์ชัน</x:v>
      </x:c>
      <x:c r="D15" t="str">
        <x:v>ตัดต่อวิดีโอ</x:v>
      </x:c>
      <x:c r="E15" s="10" t="n">
        <x:v>46273</x:v>
      </x:c>
      <x:c r="F15" s="10" t="n">
        <x:v>46284</x:v>
      </x:c>
      <x:c r="G15" t="n">
        <x:v>60</x:v>
      </x:c>
      <x:c r="H15" s="16" t="n">
        <x:f>IF(F15="","",F15+G15)</x:f>
        <x:v>46344</x:v>
      </x:c>
      <x:c r="I15" s="12" t="n">
        <x:v>11200</x:v>
      </x:c>
      <x:c r="J15" s="14" t="n">
        <x:v>0.01</x:v>
      </x:c>
      <x:c r="K15" s="18" t="n">
        <x:f>ROUND(I15*(1-J15),2)</x:f>
        <x:v>11088</x:v>
      </x:c>
      <x:c r="L15" s="18" t="n">
        <x:f>SUMIF('รับชำระเงิน'!$B$2:$B$200,A15,'รับชำระเงิน'!$F$2:$F$200)</x:f>
        <x:v>0</x:v>
      </x:c>
      <x:c r="M15" s="18" t="n">
        <x:f>MAX(0,K15-L15)</x:f>
        <x:v>11088</x:v>
      </x:c>
      <x:c r="N15" s="19" t="str">
        <x:f>IF(M15&lt;=0,"รับครบ",IF(H15&lt;TODAY(),"เกินกำหนด",IF(H15-TODAY()&lt;=7,"ใกล้ครบกำหนด","รอรับเงิน")))</x:f>
        <x:v>รอรับเงิน</x:v>
      </x:c>
      <x:c r="O15" t="str">
        <x:v>ข้อมูลสมมติสำหรับทดสอบนำเข้า</x:v>
      </x:c>
    </x:row>
    <x:row r="16">
      <x:c r="A16" t="str">
        <x:v>PRJ-2026015</x:v>
      </x:c>
      <x:c r="B16" t="str">
        <x:v>Greenroot Market</x:v>
      </x:c>
      <x:c r="C16" t="str">
        <x:v>วิดีโอคอนเซปต์ประจำเดือน</x:v>
      </x:c>
      <x:c r="D16" t="str">
        <x:v>ผลิตคอนเทนต์</x:v>
      </x:c>
      <x:c r="E16" s="10" t="n">
        <x:v>46278</x:v>
      </x:c>
      <x:c r="F16" s="10" t="n">
        <x:v>46287</x:v>
      </x:c>
      <x:c r="G16" t="n">
        <x:v>0</x:v>
      </x:c>
      <x:c r="H16" s="16" t="n">
        <x:f>IF(F16="","",F16+G16)</x:f>
        <x:v>46287</x:v>
      </x:c>
      <x:c r="I16" s="12" t="n">
        <x:v>7000</x:v>
      </x:c>
      <x:c r="J16" s="14" t="n">
        <x:v>0</x:v>
      </x:c>
      <x:c r="K16" s="18" t="n">
        <x:f>ROUND(I16*(1-J16),2)</x:f>
        <x:v>7000</x:v>
      </x:c>
      <x:c r="L16" s="18" t="n">
        <x:f>SUMIF('รับชำระเงิน'!$B$2:$B$200,A16,'รับชำระเงิน'!$F$2:$F$200)</x:f>
        <x:v>7000</x:v>
      </x:c>
      <x:c r="M16" s="18" t="n">
        <x:f>MAX(0,K16-L16)</x:f>
        <x:v>0</x:v>
      </x:c>
      <x:c r="N16" s="19" t="str">
        <x:f>IF(M16&lt;=0,"รับครบ",IF(H16&lt;TODAY(),"เกินกำหนด",IF(H16-TODAY()&lt;=7,"ใกล้ครบกำหนด","รอรับเงิน")))</x:f>
        <x:v>รับครบ</x:v>
      </x:c>
      <x:c r="O16" t="str">
        <x:v>ข้อมูลสมมติสำหรับทดสอบนำเข้า</x:v>
      </x:c>
    </x:row>
    <x:row r="17">
      <x:c r="A17" t="str">
        <x:v>PRJ-2026016</x:v>
      </x:c>
      <x:c r="B17" t="str">
        <x:v>Cloudnine Tech</x:v>
      </x:c>
      <x:c r="C17" t="str">
        <x:v>ปรับ UI หน้า Pricing</x:v>
      </x:c>
      <x:c r="D17" t="str">
        <x:v>ออกแบบเว็บไซต์</x:v>
      </x:c>
      <x:c r="E17" s="10" t="n">
        <x:v>46285</x:v>
      </x:c>
      <x:c r="F17" s="10" t="n">
        <x:v>46291</x:v>
      </x:c>
      <x:c r="G17" t="n">
        <x:v>45</x:v>
      </x:c>
      <x:c r="H17" s="16" t="n">
        <x:f>IF(F17="","",F17+G17)</x:f>
        <x:v>46336</x:v>
      </x:c>
      <x:c r="I17" s="12" t="n">
        <x:v>15500</x:v>
      </x:c>
      <x:c r="J17" s="14" t="n">
        <x:v>0.01</x:v>
      </x:c>
      <x:c r="K17" s="18" t="n">
        <x:f>ROUND(I17*(1-J17),2)</x:f>
        <x:v>15345</x:v>
      </x:c>
      <x:c r="L17" s="18" t="n">
        <x:f>SUMIF('รับชำระเงิน'!$B$2:$B$200,A17,'รับชำระเงิน'!$F$2:$F$200)</x:f>
        <x:v>7672.5</x:v>
      </x:c>
      <x:c r="M17" s="18" t="n">
        <x:f>MAX(0,K17-L17)</x:f>
        <x:v>7672.5</x:v>
      </x:c>
      <x:c r="N17" s="19" t="str">
        <x:f>IF(M17&lt;=0,"รับครบ",IF(H17&lt;TODAY(),"เกินกำหนด",IF(H17-TODAY()&lt;=7,"ใกล้ครบกำหนด","รอรับเงิน")))</x:f>
        <x:v>รอรับเงิน</x:v>
      </x:c>
      <x:c r="O17" t="str">
        <x:v>ข้อมูลสมมติสำหรับทดสอบนำเข้า</x:v>
      </x:c>
    </x:row>
    <x:row r="18">
      <x:c r="A18" t="str">
        <x:v>PRJ-2026017</x:v>
      </x:c>
      <x:c r="B18" t="str">
        <x:v>Urban Motion</x:v>
      </x:c>
      <x:c r="C18" t="str">
        <x:v>ตัดต่อ TikTok 6 คลิป</x:v>
      </x:c>
      <x:c r="D18" t="str">
        <x:v>ตัดต่อวิดีโอ</x:v>
      </x:c>
      <x:c r="E18" s="10" t="n">
        <x:v>46282</x:v>
      </x:c>
      <x:c r="F18" s="10" t="n">
        <x:v>46294</x:v>
      </x:c>
      <x:c r="G18" t="n">
        <x:v>30</x:v>
      </x:c>
      <x:c r="H18" s="16" t="n">
        <x:f>IF(F18="","",F18+G18)</x:f>
        <x:v>46324</x:v>
      </x:c>
      <x:c r="I18" s="12" t="n">
        <x:v>5100</x:v>
      </x:c>
      <x:c r="J18" s="14" t="n">
        <x:v>0.01</x:v>
      </x:c>
      <x:c r="K18" s="18" t="n">
        <x:f>ROUND(I18*(1-J18),2)</x:f>
        <x:v>5049</x:v>
      </x:c>
      <x:c r="L18" s="18" t="n">
        <x:f>SUMIF('รับชำระเงิน'!$B$2:$B$200,A18,'รับชำระเงิน'!$F$2:$F$200)</x:f>
        <x:v>0</x:v>
      </x:c>
      <x:c r="M18" s="18" t="n">
        <x:f>MAX(0,K18-L18)</x:f>
        <x:v>5049</x:v>
      </x:c>
      <x:c r="N18" s="19" t="str">
        <x:f>IF(M18&lt;=0,"รับครบ",IF(H18&lt;TODAY(),"เกินกำหนด",IF(H18-TODAY()&lt;=7,"ใกล้ครบกำหนด","รอรับเงิน")))</x:f>
        <x:v>เกินกำหนด</x:v>
      </x:c>
      <x:c r="O18" t="str">
        <x:v>ข้อมูลสมมติสำหรับทดสอบนำเข้า</x:v>
      </x:c>
    </x:row>
    <x:row r="19">
      <x:c r="A19" t="str">
        <x:v>PRJ-2026018</x:v>
      </x:c>
      <x:c r="B19" t="str">
        <x:v>Little Planet</x:v>
      </x:c>
      <x:c r="C19" t="str">
        <x:v>ออกแบบภาพโปรโมตงานเปิดตัว</x:v>
      </x:c>
      <x:c r="D19" t="str">
        <x:v>ออกแบบกราฟิก</x:v>
      </x:c>
      <x:c r="E19" s="10" t="n">
        <x:v>46291</x:v>
      </x:c>
      <x:c r="F19" s="10" t="n">
        <x:v>46298</x:v>
      </x:c>
      <x:c r="G19" t="n">
        <x:v>0</x:v>
      </x:c>
      <x:c r="H19" s="16" t="n">
        <x:f>IF(F19="","",F19+G19)</x:f>
        <x:v>46298</x:v>
      </x:c>
      <x:c r="I19" s="12" t="n">
        <x:v>4000</x:v>
      </x:c>
      <x:c r="J19" s="14" t="n">
        <x:v>0</x:v>
      </x:c>
      <x:c r="K19" s="18" t="n">
        <x:f>ROUND(I19*(1-J19),2)</x:f>
        <x:v>4000</x:v>
      </x:c>
      <x:c r="L19" s="18" t="n">
        <x:f>SUMIF('รับชำระเงิน'!$B$2:$B$200,A19,'รับชำระเงิน'!$F$2:$F$200)</x:f>
        <x:v>4000</x:v>
      </x:c>
      <x:c r="M19" s="18" t="n">
        <x:f>MAX(0,K19-L19)</x:f>
        <x:v>0</x:v>
      </x:c>
      <x:c r="N19" s="19" t="str">
        <x:f>IF(M19&lt;=0,"รับครบ",IF(H19&lt;TODAY(),"เกินกำหนด",IF(H19-TODAY()&lt;=7,"ใกล้ครบกำหนด","รอรับเงิน")))</x:f>
        <x:v>รับครบ</x:v>
      </x:c>
      <x:c r="O19" t="str">
        <x:v>ข้อมูลสมมติสำหรับทดสอบนำเข้า</x:v>
      </x:c>
    </x:row>
    <x:row r="20">
      <x:c r="A20" t="str">
        <x:v>PRJ-2026019</x:v>
      </x:c>
      <x:c r="B20" t="str">
        <x:v>Sunny Weekend</x:v>
      </x:c>
      <x:c r="C20" t="str">
        <x:v>ซีรีส์คลิปไกด์ 3 ตอน</x:v>
      </x:c>
      <x:c r="D20" t="str">
        <x:v>ตัดต่อวิดีโอ</x:v>
      </x:c>
      <x:c r="E20" s="10" t="n">
        <x:v>46298</x:v>
      </x:c>
      <x:c r="F20" s="10" t="n">
        <x:v>46301</x:v>
      </x:c>
      <x:c r="G20" t="n">
        <x:v>60</x:v>
      </x:c>
      <x:c r="H20" s="16" t="n">
        <x:f>IF(F20="","",F20+G20)</x:f>
        <x:v>46361</x:v>
      </x:c>
      <x:c r="I20" s="12" t="n">
        <x:v>10500</x:v>
      </x:c>
      <x:c r="J20" s="14" t="n">
        <x:v>0.01</x:v>
      </x:c>
      <x:c r="K20" s="18" t="n">
        <x:f>ROUND(I20*(1-J20),2)</x:f>
        <x:v>10395</x:v>
      </x:c>
      <x:c r="L20" s="18" t="n">
        <x:f>SUMIF('รับชำระเงิน'!$B$2:$B$200,A20,'รับชำระเงิน'!$F$2:$F$200)</x:f>
        <x:v>0</x:v>
      </x:c>
      <x:c r="M20" s="18" t="n">
        <x:f>MAX(0,K20-L20)</x:f>
        <x:v>10395</x:v>
      </x:c>
      <x:c r="N20" s="19" t="str">
        <x:f>IF(M20&lt;=0,"รับครบ",IF(H20&lt;TODAY(),"เกินกำหนด",IF(H20-TODAY()&lt;=7,"ใกล้ครบกำหนด","รอรับเงิน")))</x:f>
        <x:v>รอรับเงิน</x:v>
      </x:c>
      <x:c r="O20" t="str">
        <x:v>ข้อมูลสมมติสำหรับทดสอบนำเข้า</x:v>
      </x:c>
    </x:row>
    <x:row r="21">
      <x:c r="A21" t="str">
        <x:v>PRJ-2026020</x:v>
      </x:c>
      <x:c r="B21" t="str">
        <x:v>Sora Home</x:v>
      </x:c>
      <x:c r="C21" t="str">
        <x:v>แก้ไขหน้าเว็บไซต์มือถือ</x:v>
      </x:c>
      <x:c r="D21" t="str">
        <x:v>ออกแบบเว็บไซต์</x:v>
      </x:c>
      <x:c r="E21" s="10" t="n">
        <x:v>46299</x:v>
      </x:c>
      <x:c r="F21" s="10" t="n">
        <x:v>46304</x:v>
      </x:c>
      <x:c r="G21" t="n">
        <x:v>30</x:v>
      </x:c>
      <x:c r="H21" s="16" t="n">
        <x:f>IF(F21="","",F21+G21)</x:f>
        <x:v>46334</x:v>
      </x:c>
      <x:c r="I21" s="12" t="n">
        <x:v>8500</x:v>
      </x:c>
      <x:c r="J21" s="14" t="n">
        <x:v>0.01</x:v>
      </x:c>
      <x:c r="K21" s="18" t="n">
        <x:f>ROUND(I21*(1-J21),2)</x:f>
        <x:v>8415</x:v>
      </x:c>
      <x:c r="L21" s="18" t="n">
        <x:f>SUMIF('รับชำระเงิน'!$B$2:$B$200,A21,'รับชำระเงิน'!$F$2:$F$200)</x:f>
        <x:v>4207.5</x:v>
      </x:c>
      <x:c r="M21" s="18" t="n">
        <x:f>MAX(0,K21-L21)</x:f>
        <x:v>4207.5</x:v>
      </x:c>
      <x:c r="N21" s="19" t="str">
        <x:f>IF(M21&lt;=0,"รับครบ",IF(H21&lt;TODAY(),"เกินกำหนด",IF(H21-TODAY()&lt;=7,"ใกล้ครบกำหนด","รอรับเงิน")))</x:f>
        <x:v>รอรับเงิน</x:v>
      </x:c>
      <x:c r="O21" t="str">
        <x:v>ข้อมูลสมมติสำหรับทดสอบนำเข้า</x:v>
      </x:c>
    </x:row>
    <x:row r="22">
      <x:c r="A22" t="str">
        <x:v>PRJ-2026021</x:v>
      </x:c>
      <x:c r="B22" t="str">
        <x:v>Aster Coffee</x:v>
      </x:c>
      <x:c r="C22" t="str">
        <x:v>รีลส์เมนูพิเศษตุลาคม</x:v>
      </x:c>
      <x:c r="D22" t="str">
        <x:v>ตัดต่อวิดีโอ</x:v>
      </x:c>
      <x:c r="E22" s="10" t="n">
        <x:v>46299</x:v>
      </x:c>
      <x:c r="F22" s="10" t="n">
        <x:v>46308</x:v>
      </x:c>
      <x:c r="G22" t="n">
        <x:v>30</x:v>
      </x:c>
      <x:c r="H22" s="16" t="n">
        <x:f>IF(F22="","",F22+G22)</x:f>
        <x:v>46338</x:v>
      </x:c>
      <x:c r="I22" s="12" t="n">
        <x:v>4500</x:v>
      </x:c>
      <x:c r="J22" s="14" t="n">
        <x:v>0.01</x:v>
      </x:c>
      <x:c r="K22" s="18" t="n">
        <x:f>ROUND(I22*(1-J22),2)</x:f>
        <x:v>4455</x:v>
      </x:c>
      <x:c r="L22" s="18" t="n">
        <x:f>SUMIF('รับชำระเงิน'!$B$2:$B$200,A22,'รับชำระเงิน'!$F$2:$F$200)</x:f>
        <x:v>0</x:v>
      </x:c>
      <x:c r="M22" s="18" t="n">
        <x:f>MAX(0,K22-L22)</x:f>
        <x:v>4455</x:v>
      </x:c>
      <x:c r="N22" s="19" t="str">
        <x:f>IF(M22&lt;=0,"รับครบ",IF(H22&lt;TODAY(),"เกินกำหนด",IF(H22-TODAY()&lt;=7,"ใกล้ครบกำหนด","รอรับเงิน")))</x:f>
        <x:v>รอรับเงิน</x:v>
      </x:c>
      <x:c r="O22" t="str">
        <x:v>ข้อมูลสมมติสำหรับทดสอบนำเข้า</x:v>
      </x:c>
    </x:row>
    <x:row r="23">
      <x:c r="A23" t="str">
        <x:v>PRJ-2026022</x:v>
      </x:c>
      <x:c r="B23" t="str">
        <x:v>Northstar Studio</x:v>
      </x:c>
      <x:c r="C23" t="str">
        <x:v>ตัดต่อ Brand Story</x:v>
      </x:c>
      <x:c r="D23" t="str">
        <x:v>ตัดต่อวิดีโอ</x:v>
      </x:c>
      <x:c r="E23" s="10" t="n">
        <x:v>46303</x:v>
      </x:c>
      <x:c r="F23" s="10" t="n">
        <x:v>46311</x:v>
      </x:c>
      <x:c r="G23" t="n">
        <x:v>45</x:v>
      </x:c>
      <x:c r="H23" s="16" t="n">
        <x:f>IF(F23="","",F23+G23)</x:f>
        <x:v>46356</x:v>
      </x:c>
      <x:c r="I23" s="12" t="n">
        <x:v>13000</x:v>
      </x:c>
      <x:c r="J23" s="14" t="n">
        <x:v>0.01</x:v>
      </x:c>
      <x:c r="K23" s="18" t="n">
        <x:f>ROUND(I23*(1-J23),2)</x:f>
        <x:v>12870</x:v>
      </x:c>
      <x:c r="L23" s="18" t="n">
        <x:f>SUMIF('รับชำระเงิน'!$B$2:$B$200,A23,'รับชำระเงิน'!$F$2:$F$200)</x:f>
        <x:v>0</x:v>
      </x:c>
      <x:c r="M23" s="18" t="n">
        <x:f>MAX(0,K23-L23)</x:f>
        <x:v>12870</x:v>
      </x:c>
      <x:c r="N23" s="19" t="str">
        <x:f>IF(M23&lt;=0,"รับครบ",IF(H23&lt;TODAY(),"เกินกำหนด",IF(H23-TODAY()&lt;=7,"ใกล้ครบกำหนด","รอรับเงิน")))</x:f>
        <x:v>รอรับเงิน</x:v>
      </x:c>
      <x:c r="O23" t="str">
        <x:v>ข้อมูลสมมติสำหรับทดสอบนำเข้า</x:v>
      </x:c>
    </x:row>
    <x:row r="24">
      <x:c r="A24" t="str">
        <x:v>PRJ-2026023</x:v>
      </x:c>
      <x:c r="B24" t="str">
        <x:v>Mellow Living</x:v>
      </x:c>
      <x:c r="C24" t="str">
        <x:v>รีวิวผลิตภัณฑ์ฤดูหนาว</x:v>
      </x:c>
      <x:c r="D24" t="str">
        <x:v>ผลิตคอนเทนต์</x:v>
      </x:c>
      <x:c r="E24" s="10" t="n">
        <x:v>46307</x:v>
      </x:c>
      <x:c r="F24" s="10" t="n">
        <x:v>46314</x:v>
      </x:c>
      <x:c r="G24" t="n">
        <x:v>30</x:v>
      </x:c>
      <x:c r="H24" s="16" t="n">
        <x:f>IF(F24="","",F24+G24)</x:f>
        <x:v>46344</x:v>
      </x:c>
      <x:c r="I24" s="12" t="n">
        <x:v>9000</x:v>
      </x:c>
      <x:c r="J24" s="14" t="n">
        <x:v>0.01</x:v>
      </x:c>
      <x:c r="K24" s="18" t="n">
        <x:f>ROUND(I24*(1-J24),2)</x:f>
        <x:v>8910</x:v>
      </x:c>
      <x:c r="L24" s="18" t="n">
        <x:f>SUMIF('รับชำระเงิน'!$B$2:$B$200,A24,'รับชำระเงิน'!$F$2:$F$200)</x:f>
        <x:v>4455</x:v>
      </x:c>
      <x:c r="M24" s="18" t="n">
        <x:f>MAX(0,K24-L24)</x:f>
        <x:v>4455</x:v>
      </x:c>
      <x:c r="N24" s="19" t="str">
        <x:f>IF(M24&lt;=0,"รับครบ",IF(H24&lt;TODAY(),"เกินกำหนด",IF(H24-TODAY()&lt;=7,"ใกล้ครบกำหนด","รอรับเงิน")))</x:f>
        <x:v>รอรับเงิน</x:v>
      </x:c>
      <x:c r="O24" t="str">
        <x:v>ข้อมูลสมมติสำหรับทดสอบนำเข้า</x:v>
      </x:c>
    </x:row>
    <x:row r="25">
      <x:c r="A25" t="str">
        <x:v>PRJ-2026024</x:v>
      </x:c>
      <x:c r="B25" t="str">
        <x:v>Bloom Beauty</x:v>
      </x:c>
      <x:c r="C25" t="str">
        <x:v>โมชั่นแอด 20 วินาที</x:v>
      </x:c>
      <x:c r="D25" t="str">
        <x:v>โมชั่นกราฟิก</x:v>
      </x:c>
      <x:c r="E25" s="10" t="n">
        <x:v>46311</x:v>
      </x:c>
      <x:c r="F25" s="10" t="n">
        <x:v>46317</x:v>
      </x:c>
      <x:c r="G25" t="n">
        <x:v>60</x:v>
      </x:c>
      <x:c r="H25" s="16" t="n">
        <x:f>IF(F25="","",F25+G25)</x:f>
        <x:v>46377</x:v>
      </x:c>
      <x:c r="I25" s="12" t="n">
        <x:v>14400</x:v>
      </x:c>
      <x:c r="J25" s="14" t="n">
        <x:v>0.01</x:v>
      </x:c>
      <x:c r="K25" s="18" t="n">
        <x:f>ROUND(I25*(1-J25),2)</x:f>
        <x:v>14256</x:v>
      </x:c>
      <x:c r="L25" s="18" t="n">
        <x:f>SUMIF('รับชำระเงิน'!$B$2:$B$200,A25,'รับชำระเงิน'!$F$2:$F$200)</x:f>
        <x:v>0</x:v>
      </x:c>
      <x:c r="M25" s="18" t="n">
        <x:f>MAX(0,K25-L25)</x:f>
        <x:v>14256</x:v>
      </x:c>
      <x:c r="N25" s="19" t="str">
        <x:f>IF(M25&lt;=0,"รับครบ",IF(H25&lt;TODAY(),"เกินกำหนด",IF(H25-TODAY()&lt;=7,"ใกล้ครบกำหนด","รอรับเงิน")))</x:f>
        <x:v>รอรับเงิน</x:v>
      </x:c>
      <x:c r="O25" t="str">
        <x:v>ข้อมูลสมมติสำหรับทดสอบนำเข้า</x:v>
      </x:c>
    </x:row>
    <x:row r="26">
      <x:c r="A26" t="str">
        <x:v>PRJ-2026025</x:v>
      </x:c>
      <x:c r="B26" t="str">
        <x:v>Cloudnine Tech</x:v>
      </x:c>
      <x:c r="C26" t="str">
        <x:v>เพิ่มฟังก์ชันสมัครสมาชิก</x:v>
      </x:c>
      <x:c r="D26" t="str">
        <x:v>ออกแบบเว็บไซต์</x:v>
      </x:c>
      <x:c r="E26" s="10" t="n">
        <x:v>46313</x:v>
      </x:c>
      <x:c r="F26" s="10" t="n">
        <x:v>46321</x:v>
      </x:c>
      <x:c r="G26" t="n">
        <x:v>45</x:v>
      </x:c>
      <x:c r="H26" s="16" t="n">
        <x:f>IF(F26="","",F26+G26)</x:f>
        <x:v>46366</x:v>
      </x:c>
      <x:c r="I26" s="12" t="n">
        <x:v>25000</x:v>
      </x:c>
      <x:c r="J26" s="14" t="n">
        <x:v>0.01</x:v>
      </x:c>
      <x:c r="K26" s="18" t="n">
        <x:f>ROUND(I26*(1-J26),2)</x:f>
        <x:v>24750</x:v>
      </x:c>
      <x:c r="L26" s="18" t="n">
        <x:f>SUMIF('รับชำระเงิน'!$B$2:$B$200,A26,'รับชำระเงิน'!$F$2:$F$200)</x:f>
        <x:v>0</x:v>
      </x:c>
      <x:c r="M26" s="18" t="n">
        <x:f>MAX(0,K26-L26)</x:f>
        <x:v>24750</x:v>
      </x:c>
      <x:c r="N26" s="19" t="str">
        <x:f>IF(M26&lt;=0,"รับครบ",IF(H26&lt;TODAY(),"เกินกำหนด",IF(H26-TODAY()&lt;=7,"ใกล้ครบกำหนด","รอรับเงิน")))</x:f>
        <x:v>รอรับเงิน</x:v>
      </x:c>
      <x:c r="O26" t="str">
        <x:v>ข้อมูลสมมติสำหรับทดสอบนำเข้า</x:v>
      </x:c>
    </x:row>
    <x:row r="27">
      <x:c r="A27" t="str">
        <x:v>PRJ-2026026</x:v>
      </x:c>
      <x:c r="B27" t="str">
        <x:v>Urban Motion</x:v>
      </x:c>
      <x:c r="C27" t="str">
        <x:v>ตัดต่อคลิปเปิดตัวสินค้า</x:v>
      </x:c>
      <x:c r="D27" t="str">
        <x:v>ตัดต่อวิดีโอ</x:v>
      </x:c>
      <x:c r="E27" s="10" t="n">
        <x:v>46319</x:v>
      </x:c>
      <x:c r="F27" s="10" t="n">
        <x:v>46323</x:v>
      </x:c>
      <x:c r="G27" t="n">
        <x:v>30</x:v>
      </x:c>
      <x:c r="H27" s="16" t="n">
        <x:f>IF(F27="","",F27+G27)</x:f>
        <x:v>46353</x:v>
      </x:c>
      <x:c r="I27" s="12" t="n">
        <x:v>6800</x:v>
      </x:c>
      <x:c r="J27" s="14" t="n">
        <x:v>0.01</x:v>
      </x:c>
      <x:c r="K27" s="18" t="n">
        <x:f>ROUND(I27*(1-J27),2)</x:f>
        <x:v>6732</x:v>
      </x:c>
      <x:c r="L27" s="18" t="n">
        <x:f>SUMIF('รับชำระเงิน'!$B$2:$B$200,A27,'รับชำระเงิน'!$F$2:$F$200)</x:f>
        <x:v>0</x:v>
      </x:c>
      <x:c r="M27" s="18" t="n">
        <x:f>MAX(0,K27-L27)</x:f>
        <x:v>6732</x:v>
      </x:c>
      <x:c r="N27" s="19" t="str">
        <x:f>IF(M27&lt;=0,"รับครบ",IF(H27&lt;TODAY(),"เกินกำหนด",IF(H27-TODAY()&lt;=7,"ใกล้ครบกำหนด","รอรับเงิน")))</x:f>
        <x:v>รอรับเงิน</x:v>
      </x:c>
      <x:c r="O27" t="str">
        <x:v>ข้อมูลสมมติสำหรับทดสอบนำเข้า</x:v>
      </x:c>
    </x:row>
  </x:sheetData>
  <x:conditionalFormatting sqref="M2:M27">
    <x:cfRule type="cellIs" dxfId="0" priority="1" operator="greaterThan">
      <x:formula>0</x:formula>
    </x:cfRule>
  </x:conditionalFormatting>
  <x:conditionalFormatting sqref="N2:N27">
    <x:cfRule type="expression" dxfId="1" priority="2">
      <x:formula>N2="เกินกำหนด"</x:formula>
    </x:cfRule>
    <x:cfRule type="expression" dxfId="2" priority="3">
      <x:formula>N2="รับครบ"</x:formula>
    </x:cfRule>
  </x:conditionalFormatting>
  <x:dataValidations count="1">
    <x:dataValidation type="list" sqref="G2:G27">
      <x:formula1>"0,30,45,60,90"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1d0a2211af4b4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0" hidden="0" customWidth="1"/>
    <x:col min="5" max="5" width="18" hidden="0" customWidth="1"/>
    <x:col min="6" max="6" width="24" hidden="0" customWidth="1"/>
    <x:col min="7" max="7" width="23" hidden="0" customWidth="1"/>
    <x:col min="8" max="8" width="27" hidden="0" customWidth="1"/>
  </x:cols>
  <x:sheetData>
    <x:row r="1" ht="30" customHeight="1">
      <x:c r="A1" s="5" t="str">
        <x:v>รหัสรับเงิน</x:v>
      </x:c>
      <x:c r="B1" s="5" t="str">
        <x:v>รหัสงาน</x:v>
      </x:c>
      <x:c r="C1" s="5" t="str">
        <x:v>ลูกค้า</x:v>
      </x:c>
      <x:c r="D1" s="5" t="str">
        <x:v>วันที่รับเงิน</x:v>
      </x:c>
      <x:c r="E1" s="5" t="str">
        <x:v>ช่องทางรับเงิน</x:v>
      </x:c>
      <x:c r="F1" s="5" t="str">
        <x:v>จำนวนเงินสุทธิ (บาท)</x:v>
      </x:c>
      <x:c r="G1" s="5" t="str">
        <x:v>อ้างอิงการชำระ</x:v>
      </x:c>
      <x:c r="H1" s="5" t="str">
        <x:v>หมายเหตุ</x:v>
      </x:c>
    </x:row>
    <x:row r="2">
      <x:c r="A2" t="str">
        <x:v>PAY-0001</x:v>
      </x:c>
      <x:c r="B2" t="str">
        <x:v>PRJ-2026001</x:v>
      </x:c>
      <x:c r="C2" t="str">
        <x:v>Aster Coffee</x:v>
      </x:c>
      <x:c r="D2" s="10" t="n">
        <x:v>46243</x:v>
      </x:c>
      <x:c r="E2" t="str">
        <x:v>โอนธนาคาร</x:v>
      </x:c>
      <x:c r="F2" s="12" t="n">
        <x:v>4455</x:v>
      </x:c>
      <x:c r="G2" t="str">
        <x:v>TRX-D-0001</x:v>
      </x:c>
      <x:c r="H2" t="str">
        <x:v>ชำระเต็มจำนวน</x:v>
      </x:c>
    </x:row>
    <x:row r="3">
      <x:c r="A3" t="str">
        <x:v>PAY-0002</x:v>
      </x:c>
      <x:c r="B3" t="str">
        <x:v>PRJ-2026002</x:v>
      </x:c>
      <x:c r="C3" t="str">
        <x:v>Northstar Studio</x:v>
      </x:c>
      <x:c r="D3" s="10" t="n">
        <x:v>46261</x:v>
      </x:c>
      <x:c r="E3" t="str">
        <x:v>โอนธนาคาร</x:v>
      </x:c>
      <x:c r="F3" s="12" t="n">
        <x:v>17820</x:v>
      </x:c>
      <x:c r="G3" t="str">
        <x:v>TRX-D-0002</x:v>
      </x:c>
      <x:c r="H3" t="str">
        <x:v>ชำระเต็มจำนวน</x:v>
      </x:c>
    </x:row>
    <x:row r="4">
      <x:c r="A4" t="str">
        <x:v>PAY-0003</x:v>
      </x:c>
      <x:c r="B4" t="str">
        <x:v>PRJ-2026003</x:v>
      </x:c>
      <x:c r="C4" t="str">
        <x:v>Mellow Living</x:v>
      </x:c>
      <x:c r="D4" s="10" t="n">
        <x:v>46253</x:v>
      </x:c>
      <x:c r="E4" t="str">
        <x:v>โอนธนาคาร</x:v>
      </x:c>
      <x:c r="F4" s="12" t="n">
        <x:v>8910</x:v>
      </x:c>
      <x:c r="G4" t="str">
        <x:v>TRX-D-0003</x:v>
      </x:c>
      <x:c r="H4" t="str">
        <x:v>ชำระเต็มจำนวน</x:v>
      </x:c>
    </x:row>
    <x:row r="5">
      <x:c r="A5" t="str">
        <x:v>PAY-0004</x:v>
      </x:c>
      <x:c r="B5" t="str">
        <x:v>PRJ-2026005</x:v>
      </x:c>
      <x:c r="C5" t="str">
        <x:v>Greenroot Market</x:v>
      </x:c>
      <x:c r="D5" s="10" t="n">
        <x:v>46251</x:v>
      </x:c>
      <x:c r="E5" t="str">
        <x:v>โอนธนาคาร</x:v>
      </x:c>
      <x:c r="F5" s="12" t="n">
        <x:v>6500</x:v>
      </x:c>
      <x:c r="G5" t="str">
        <x:v>TRX-D-0004</x:v>
      </x:c>
      <x:c r="H5" t="str">
        <x:v>ชำระเต็มจำนวน</x:v>
      </x:c>
    </x:row>
    <x:row r="6">
      <x:c r="A6" t="str">
        <x:v>PAY-0005</x:v>
      </x:c>
      <x:c r="B6" t="str">
        <x:v>PRJ-2026006</x:v>
      </x:c>
      <x:c r="C6" t="str">
        <x:v>Cloudnine Tech</x:v>
      </x:c>
      <x:c r="D6" s="10" t="n">
        <x:v>46267</x:v>
      </x:c>
      <x:c r="E6" t="str">
        <x:v>โอนธนาคาร</x:v>
      </x:c>
      <x:c r="F6" s="12" t="n">
        <x:v>11880</x:v>
      </x:c>
      <x:c r="G6" t="str">
        <x:v>TRX-D-0005</x:v>
      </x:c>
      <x:c r="H6" t="str">
        <x:v>ชำระบางส่วน 50%</x:v>
      </x:c>
    </x:row>
    <x:row r="7">
      <x:c r="A7" t="str">
        <x:v>PAY-0006</x:v>
      </x:c>
      <x:c r="B7" t="str">
        <x:v>PRJ-2026007</x:v>
      </x:c>
      <x:c r="C7" t="str">
        <x:v>Urban Motion</x:v>
      </x:c>
      <x:c r="D7" s="10" t="n">
        <x:v>46266</x:v>
      </x:c>
      <x:c r="E7" t="str">
        <x:v>โอนธนาคาร</x:v>
      </x:c>
      <x:c r="F7" s="12" t="n">
        <x:v>5148</x:v>
      </x:c>
      <x:c r="G7" t="str">
        <x:v>TRX-D-0006</x:v>
      </x:c>
      <x:c r="H7" t="str">
        <x:v>ชำระเต็มจำนวน</x:v>
      </x:c>
    </x:row>
    <x:row r="8">
      <x:c r="A8" t="str">
        <x:v>PAY-0007</x:v>
      </x:c>
      <x:c r="B8" t="str">
        <x:v>PRJ-2026008</x:v>
      </x:c>
      <x:c r="C8" t="str">
        <x:v>Little Planet</x:v>
      </x:c>
      <x:c r="D8" s="10" t="n">
        <x:v>46263</x:v>
      </x:c>
      <x:c r="E8" t="str">
        <x:v>โอนธนาคาร</x:v>
      </x:c>
      <x:c r="F8" s="12" t="n">
        <x:v>3200</x:v>
      </x:c>
      <x:c r="G8" t="str">
        <x:v>TRX-D-0007</x:v>
      </x:c>
      <x:c r="H8" t="str">
        <x:v>ชำระเต็มจำนวน</x:v>
      </x:c>
    </x:row>
    <x:row r="9">
      <x:c r="A9" t="str">
        <x:v>PAY-0008</x:v>
      </x:c>
      <x:c r="B9" t="str">
        <x:v>PRJ-2026010</x:v>
      </x:c>
      <x:c r="C9" t="str">
        <x:v>Sora Home</x:v>
      </x:c>
      <x:c r="D9" s="10" t="n">
        <x:v>46282</x:v>
      </x:c>
      <x:c r="E9" t="str">
        <x:v>โอนธนาคาร</x:v>
      </x:c>
      <x:c r="F9" s="12" t="n">
        <x:v>4950</x:v>
      </x:c>
      <x:c r="G9" t="str">
        <x:v>TRX-D-0008</x:v>
      </x:c>
      <x:c r="H9" t="str">
        <x:v>ชำระเต็มจำนวน</x:v>
      </x:c>
    </x:row>
    <x:row r="10">
      <x:c r="A10" t="str">
        <x:v>PAY-0009</x:v>
      </x:c>
      <x:c r="B10" t="str">
        <x:v>PRJ-2026011</x:v>
      </x:c>
      <x:c r="C10" t="str">
        <x:v>Aster Coffee</x:v>
      </x:c>
      <x:c r="D10" s="10" t="n">
        <x:v>46297</x:v>
      </x:c>
      <x:c r="E10" t="str">
        <x:v>โอนธนาคาร</x:v>
      </x:c>
      <x:c r="F10" s="12" t="n">
        <x:v>11880</x:v>
      </x:c>
      <x:c r="G10" t="str">
        <x:v>TRX-D-0009</x:v>
      </x:c>
      <x:c r="H10" t="str">
        <x:v>ชำระเต็มจำนวน</x:v>
      </x:c>
    </x:row>
    <x:row r="11">
      <x:c r="A11" t="str">
        <x:v>PAY-0010</x:v>
      </x:c>
      <x:c r="B11" t="str">
        <x:v>PRJ-2026012</x:v>
      </x:c>
      <x:c r="C11" t="str">
        <x:v>Northstar Studio</x:v>
      </x:c>
      <x:c r="D11" s="10" t="n">
        <x:v>46287</x:v>
      </x:c>
      <x:c r="E11" t="str">
        <x:v>โอนธนาคาร</x:v>
      </x:c>
      <x:c r="F11" s="12" t="n">
        <x:v>3366</x:v>
      </x:c>
      <x:c r="G11" t="str">
        <x:v>TRX-D-0010</x:v>
      </x:c>
      <x:c r="H11" t="str">
        <x:v>ชำระบางส่วน 50%</x:v>
      </x:c>
    </x:row>
    <x:row r="12">
      <x:c r="A12" t="str">
        <x:v>PAY-0011</x:v>
      </x:c>
      <x:c r="B12" t="str">
        <x:v>PRJ-2026013</x:v>
      </x:c>
      <x:c r="C12" t="str">
        <x:v>Mellow Living</x:v>
      </x:c>
      <x:c r="D12" s="10" t="n">
        <x:v>46307</x:v>
      </x:c>
      <x:c r="E12" t="str">
        <x:v>โอนธนาคาร</x:v>
      </x:c>
      <x:c r="F12" s="12" t="n">
        <x:v>7920</x:v>
      </x:c>
      <x:c r="G12" t="str">
        <x:v>TRX-D-0011</x:v>
      </x:c>
      <x:c r="H12" t="str">
        <x:v>ชำระเต็มจำนวน</x:v>
      </x:c>
    </x:row>
    <x:row r="13">
      <x:c r="A13" t="str">
        <x:v>PAY-0012</x:v>
      </x:c>
      <x:c r="B13" t="str">
        <x:v>PRJ-2026015</x:v>
      </x:c>
      <x:c r="C13" t="str">
        <x:v>Greenroot Market</x:v>
      </x:c>
      <x:c r="D13" s="10" t="n">
        <x:v>46287</x:v>
      </x:c>
      <x:c r="E13" t="str">
        <x:v>โอนธนาคาร</x:v>
      </x:c>
      <x:c r="F13" s="12" t="n">
        <x:v>7000</x:v>
      </x:c>
      <x:c r="G13" t="str">
        <x:v>TRX-D-0012</x:v>
      </x:c>
      <x:c r="H13" t="str">
        <x:v>ชำระเต็มจำนวน</x:v>
      </x:c>
    </x:row>
    <x:row r="14">
      <x:c r="A14" t="str">
        <x:v>PAY-0013</x:v>
      </x:c>
      <x:c r="B14" t="str">
        <x:v>PRJ-2026016</x:v>
      </x:c>
      <x:c r="C14" t="str">
        <x:v>Cloudnine Tech</x:v>
      </x:c>
      <x:c r="D14" s="10" t="n">
        <x:v>46301</x:v>
      </x:c>
      <x:c r="E14" t="str">
        <x:v>โอนธนาคาร</x:v>
      </x:c>
      <x:c r="F14" s="12" t="n">
        <x:v>7672.5</x:v>
      </x:c>
      <x:c r="G14" t="str">
        <x:v>TRX-D-0013</x:v>
      </x:c>
      <x:c r="H14" t="str">
        <x:v>ชำระบางส่วน 50%</x:v>
      </x:c>
    </x:row>
    <x:row r="15">
      <x:c r="A15" t="str">
        <x:v>PAY-0014</x:v>
      </x:c>
      <x:c r="B15" t="str">
        <x:v>PRJ-2026018</x:v>
      </x:c>
      <x:c r="C15" t="str">
        <x:v>Little Planet</x:v>
      </x:c>
      <x:c r="D15" s="10" t="n">
        <x:v>46298</x:v>
      </x:c>
      <x:c r="E15" t="str">
        <x:v>โอนธนาคาร</x:v>
      </x:c>
      <x:c r="F15" s="12" t="n">
        <x:v>4000</x:v>
      </x:c>
      <x:c r="G15" t="str">
        <x:v>TRX-D-0014</x:v>
      </x:c>
      <x:c r="H15" t="str">
        <x:v>ชำระเต็มจำนวน</x:v>
      </x:c>
    </x:row>
    <x:row r="16">
      <x:c r="A16" t="str">
        <x:v>PAY-0015</x:v>
      </x:c>
      <x:c r="B16" t="str">
        <x:v>PRJ-2026020</x:v>
      </x:c>
      <x:c r="C16" t="str">
        <x:v>Sora Home</x:v>
      </x:c>
      <x:c r="D16" s="10" t="n">
        <x:v>46318</x:v>
      </x:c>
      <x:c r="E16" t="str">
        <x:v>โอนธนาคาร</x:v>
      </x:c>
      <x:c r="F16" s="12" t="n">
        <x:v>4207.5</x:v>
      </x:c>
      <x:c r="G16" t="str">
        <x:v>TRX-D-0015</x:v>
      </x:c>
      <x:c r="H16" t="str">
        <x:v>ชำระบางส่วน 50%</x:v>
      </x:c>
    </x:row>
    <x:row r="17">
      <x:c r="A17" t="str">
        <x:v>PAY-0016</x:v>
      </x:c>
      <x:c r="B17" t="str">
        <x:v>PRJ-2026023</x:v>
      </x:c>
      <x:c r="C17" t="str">
        <x:v>Mellow Living</x:v>
      </x:c>
      <x:c r="D17" s="10" t="n">
        <x:v>46319</x:v>
      </x:c>
      <x:c r="E17" t="str">
        <x:v>โอนธนาคาร</x:v>
      </x:c>
      <x:c r="F17" s="12" t="n">
        <x:v>4455</x:v>
      </x:c>
      <x:c r="G17" t="str">
        <x:v>TRX-D-0016</x:v>
      </x:c>
      <x:c r="H17" t="str">
        <x:v>ชำระบางส่วน 50%</x:v>
      </x:c>
    </x:row>
  </x:sheetData>
  <x:pageMargins left="0.7" right="0.7" top="0.75" bottom="0.75" header="0.3" footer="0.3"/>
  <x:tableParts count="1">
    <x:tablePart xmlns:r="http://schemas.openxmlformats.org/officeDocument/2006/relationships" r:id="R1ab2c9f1b9f8437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9" hidden="0" customWidth="1"/>
    <x:col min="4" max="4" width="32" hidden="0" customWidth="1"/>
    <x:col min="5" max="5" width="22" hidden="0" customWidth="1"/>
    <x:col min="6" max="6" width="20" hidden="0" customWidth="1"/>
    <x:col min="7" max="7" width="25" hidden="0" customWidth="1"/>
    <x:col min="8" max="8" width="28" hidden="0" customWidth="1"/>
  </x:cols>
  <x:sheetData>
    <x:row r="1" ht="30" customHeight="1">
      <x:c r="A1" s="5" t="str">
        <x:v>รหัสรายจ่าย</x:v>
      </x:c>
      <x:c r="B1" s="5" t="str">
        <x:v>วันที่จ่าย</x:v>
      </x:c>
      <x:c r="C1" s="5" t="str">
        <x:v>หมวดหมู่</x:v>
      </x:c>
      <x:c r="D1" s="5" t="str">
        <x:v>รายการ</x:v>
      </x:c>
      <x:c r="E1" s="5" t="str">
        <x:v>จำนวนเงิน (บาท)</x:v>
      </x:c>
      <x:c r="F1" s="5" t="str">
        <x:v>ช่องทางจ่าย</x:v>
      </x:c>
      <x:c r="G1" s="5" t="str">
        <x:v>รหัสงานที่เกี่ยวข้อง</x:v>
      </x:c>
      <x:c r="H1" s="5" t="str">
        <x:v>หมายเหตุ</x:v>
      </x:c>
    </x:row>
    <x:row r="2">
      <x:c r="A2" t="str">
        <x:v>EXP-0001</x:v>
      </x:c>
      <x:c r="B2" s="10" t="n">
        <x:v>46236</x:v>
      </x:c>
      <x:c r="C2" t="str">
        <x:v>ซอฟต์แวร์</x:v>
      </x:c>
      <x:c r="D2" t="str">
        <x:v>แพ็กเกจตัดต่อวิดีโอ</x:v>
      </x:c>
      <x:c r="E2" s="12" t="n">
        <x:v>1190</x:v>
      </x:c>
      <x:c r="F2" t="str">
        <x:v>เงินสด</x:v>
      </x:c>
      <x:c r="G2" t="str"/>
      <x:c r="H2" t="str">
        <x:v>ตัวอย่างเท่านั้น</x:v>
      </x:c>
    </x:row>
    <x:row r="3">
      <x:c r="A3" t="str">
        <x:v>EXP-0016</x:v>
      </x:c>
      <x:c r="B3" s="10" t="n">
        <x:v>46237</x:v>
      </x:c>
      <x:c r="C3" t="str">
        <x:v>อินเทอร์เน็ต</x:v>
      </x:c>
      <x:c r="D3" t="str">
        <x:v>ค่าอินเทอร์เน็ต</x:v>
      </x:c>
      <x:c r="E3" s="12" t="n">
        <x:v>790</x:v>
      </x:c>
      <x:c r="F3" t="str">
        <x:v>บัตร/โอน</x:v>
      </x:c>
      <x:c r="G3" t="str"/>
      <x:c r="H3" t="str">
        <x:v>ตัวอย่างเท่านั้น</x:v>
      </x:c>
    </x:row>
    <x:row r="4">
      <x:c r="A4" t="str">
        <x:v>EXP-0031</x:v>
      </x:c>
      <x:c r="B4" s="10" t="n">
        <x:v>46238</x:v>
      </x:c>
      <x:c r="C4" t="str">
        <x:v>เดินทาง</x:v>
      </x:c>
      <x:c r="D4" t="str">
        <x:v>ค่าเดินทางถ่ายงาน</x:v>
      </x:c>
      <x:c r="E4" s="12" t="n">
        <x:v>430</x:v>
      </x:c>
      <x:c r="F4" t="str">
        <x:v>บัตร/โอน</x:v>
      </x:c>
      <x:c r="G4" t="str">
        <x:v>PRJ-2026013</x:v>
      </x:c>
      <x:c r="H4" t="str">
        <x:v>ตัวอย่างเท่านั้น</x:v>
      </x:c>
    </x:row>
    <x:row r="5">
      <x:c r="A5" t="str">
        <x:v>EXP-0013</x:v>
      </x:c>
      <x:c r="B5" s="10" t="n">
        <x:v>46242</x:v>
      </x:c>
      <x:c r="C5" t="str">
        <x:v>ซอฟต์แวร์</x:v>
      </x:c>
      <x:c r="D5" t="str">
        <x:v>แพ็กเกจตัดต่อวิดีโอ</x:v>
      </x:c>
      <x:c r="E5" s="12" t="n">
        <x:v>1215</x:v>
      </x:c>
      <x:c r="F5" t="str">
        <x:v>เงินสด</x:v>
      </x:c>
      <x:c r="G5" t="str"/>
      <x:c r="H5" t="str">
        <x:v>ตัวอย่างเท่านั้น</x:v>
      </x:c>
    </x:row>
    <x:row r="6">
      <x:c r="A6" t="str">
        <x:v>EXP-0028</x:v>
      </x:c>
      <x:c r="B6" s="10" t="n">
        <x:v>46243</x:v>
      </x:c>
      <x:c r="C6" t="str">
        <x:v>อินเทอร์เน็ต</x:v>
      </x:c>
      <x:c r="D6" t="str">
        <x:v>ค่าอินเทอร์เน็ต</x:v>
      </x:c>
      <x:c r="E6" s="12" t="n">
        <x:v>815</x:v>
      </x:c>
      <x:c r="F6" t="str">
        <x:v>บัตร/โอน</x:v>
      </x:c>
      <x:c r="G6" t="str"/>
      <x:c r="H6" t="str">
        <x:v>ตัวอย่างเท่านั้น</x:v>
      </x:c>
    </x:row>
    <x:row r="7">
      <x:c r="A7" t="str">
        <x:v>EXP-0010</x:v>
      </x:c>
      <x:c r="B7" s="10" t="n">
        <x:v>46247</x:v>
      </x:c>
      <x:c r="C7" t="str">
        <x:v>อุปกรณ์</x:v>
      </x:c>
      <x:c r="D7" t="str">
        <x:v>แบตเตอรี่กล้องสำรอง</x:v>
      </x:c>
      <x:c r="E7" s="12" t="n">
        <x:v>1640</x:v>
      </x:c>
      <x:c r="F7" t="str">
        <x:v>บัตร/โอน</x:v>
      </x:c>
      <x:c r="G7" t="str"/>
      <x:c r="H7" t="str">
        <x:v>ตัวอย่างเท่านั้น</x:v>
      </x:c>
    </x:row>
    <x:row r="8">
      <x:c r="A8" t="str">
        <x:v>EXP-0025</x:v>
      </x:c>
      <x:c r="B8" s="10" t="n">
        <x:v>46248</x:v>
      </x:c>
      <x:c r="C8" t="str">
        <x:v>ซอฟต์แวร์</x:v>
      </x:c>
      <x:c r="D8" t="str">
        <x:v>แพ็กเกจตัดต่อวิดีโอ</x:v>
      </x:c>
      <x:c r="E8" s="12" t="n">
        <x:v>1240</x:v>
      </x:c>
      <x:c r="F8" t="str">
        <x:v>เงินสด</x:v>
      </x:c>
      <x:c r="G8" t="str"/>
      <x:c r="H8" t="str">
        <x:v>ตัวอย่างเท่านั้น</x:v>
      </x:c>
    </x:row>
    <x:row r="9">
      <x:c r="A9" t="str">
        <x:v>EXP-0040</x:v>
      </x:c>
      <x:c r="B9" s="10" t="n">
        <x:v>46249</x:v>
      </x:c>
      <x:c r="C9" t="str">
        <x:v>อินเทอร์เน็ต</x:v>
      </x:c>
      <x:c r="D9" t="str">
        <x:v>ค่าอินเทอร์เน็ต</x:v>
      </x:c>
      <x:c r="E9" s="12" t="n">
        <x:v>840</x:v>
      </x:c>
      <x:c r="F9" t="str">
        <x:v>บัตร/โอน</x:v>
      </x:c>
      <x:c r="G9" t="str"/>
      <x:c r="H9" t="str">
        <x:v>ตัวอย่างเท่านั้น</x:v>
      </x:c>
    </x:row>
    <x:row r="10">
      <x:c r="A10" t="str">
        <x:v>EXP-0007</x:v>
      </x:c>
      <x:c r="B10" s="10" t="n">
        <x:v>46252</x:v>
      </x:c>
      <x:c r="C10" t="str">
        <x:v>เดินทาง</x:v>
      </x:c>
      <x:c r="D10" t="str">
        <x:v>ค่าเดินทางถ่ายงาน</x:v>
      </x:c>
      <x:c r="E10" s="12" t="n">
        <x:v>505</x:v>
      </x:c>
      <x:c r="F10" t="str">
        <x:v>บัตร/โอน</x:v>
      </x:c>
      <x:c r="G10" t="str">
        <x:v>PRJ-2026019</x:v>
      </x:c>
      <x:c r="H10" t="str">
        <x:v>ตัวอย่างเท่านั้น</x:v>
      </x:c>
    </x:row>
    <x:row r="11">
      <x:c r="A11" t="str">
        <x:v>EXP-0022</x:v>
      </x:c>
      <x:c r="B11" s="10" t="n">
        <x:v>46253</x:v>
      </x:c>
      <x:c r="C11" t="str">
        <x:v>อุปกรณ์</x:v>
      </x:c>
      <x:c r="D11" t="str">
        <x:v>แบตเตอรี่กล้องสำรอง</x:v>
      </x:c>
      <x:c r="E11" s="12" t="n">
        <x:v>1665</x:v>
      </x:c>
      <x:c r="F11" t="str">
        <x:v>บัตร/โอน</x:v>
      </x:c>
      <x:c r="G11" t="str"/>
      <x:c r="H11" t="str">
        <x:v>ตัวอย่างเท่านั้น</x:v>
      </x:c>
    </x:row>
    <x:row r="12">
      <x:c r="A12" t="str">
        <x:v>EXP-0037</x:v>
      </x:c>
      <x:c r="B12" s="10" t="n">
        <x:v>46254</x:v>
      </x:c>
      <x:c r="C12" t="str">
        <x:v>ซอฟต์แวร์</x:v>
      </x:c>
      <x:c r="D12" t="str">
        <x:v>แพ็กเกจตัดต่อวิดีโอ</x:v>
      </x:c>
      <x:c r="E12" s="12" t="n">
        <x:v>1265</x:v>
      </x:c>
      <x:c r="F12" t="str">
        <x:v>เงินสด</x:v>
      </x:c>
      <x:c r="G12" t="str"/>
      <x:c r="H12" t="str">
        <x:v>ตัวอย่างเท่านั้น</x:v>
      </x:c>
    </x:row>
    <x:row r="13">
      <x:c r="A13" t="str">
        <x:v>EXP-0004</x:v>
      </x:c>
      <x:c r="B13" s="10" t="n">
        <x:v>46257</x:v>
      </x:c>
      <x:c r="C13" t="str">
        <x:v>อินเทอร์เน็ต</x:v>
      </x:c>
      <x:c r="D13" t="str">
        <x:v>ค่าอินเทอร์เน็ต</x:v>
      </x:c>
      <x:c r="E13" s="12" t="n">
        <x:v>890</x:v>
      </x:c>
      <x:c r="F13" t="str">
        <x:v>บัตร/โอน</x:v>
      </x:c>
      <x:c r="G13" t="str"/>
      <x:c r="H13" t="str">
        <x:v>ตัวอย่างเท่านั้น</x:v>
      </x:c>
    </x:row>
    <x:row r="14">
      <x:c r="A14" t="str">
        <x:v>EXP-0019</x:v>
      </x:c>
      <x:c r="B14" s="10" t="n">
        <x:v>46258</x:v>
      </x:c>
      <x:c r="C14" t="str">
        <x:v>เดินทาง</x:v>
      </x:c>
      <x:c r="D14" t="str">
        <x:v>ค่าเดินทางถ่ายงาน</x:v>
      </x:c>
      <x:c r="E14" s="12" t="n">
        <x:v>530</x:v>
      </x:c>
      <x:c r="F14" t="str">
        <x:v>บัตร/โอน</x:v>
      </x:c>
      <x:c r="G14" t="str">
        <x:v>PRJ-2026003</x:v>
      </x:c>
      <x:c r="H14" t="str">
        <x:v>ตัวอย่างเท่านั้น</x:v>
      </x:c>
    </x:row>
    <x:row r="15">
      <x:c r="A15" t="str">
        <x:v>EXP-0034</x:v>
      </x:c>
      <x:c r="B15" s="10" t="n">
        <x:v>46259</x:v>
      </x:c>
      <x:c r="C15" t="str">
        <x:v>อุปกรณ์</x:v>
      </x:c>
      <x:c r="D15" t="str">
        <x:v>แบตเตอรี่กล้องสำรอง</x:v>
      </x:c>
      <x:c r="E15" s="12" t="n">
        <x:v>1690</x:v>
      </x:c>
      <x:c r="F15" t="str">
        <x:v>บัตร/โอน</x:v>
      </x:c>
      <x:c r="G15" t="str"/>
      <x:c r="H15" t="str">
        <x:v>ตัวอย่างเท่านั้น</x:v>
      </x:c>
    </x:row>
    <x:row r="16">
      <x:c r="A16" t="str">
        <x:v>EXP-0005</x:v>
      </x:c>
      <x:c r="B16" s="10" t="n">
        <x:v>46269</x:v>
      </x:c>
      <x:c r="C16" t="str">
        <x:v>ค่าแรงทีม</x:v>
      </x:c>
      <x:c r="D16" t="str">
        <x:v>ค่าจ้างตัดต่อฟรีแลนซ์</x:v>
      </x:c>
      <x:c r="E16" s="12" t="n">
        <x:v>1850</x:v>
      </x:c>
      <x:c r="F16" t="str">
        <x:v>เงินสด</x:v>
      </x:c>
      <x:c r="G16" t="str">
        <x:v>PRJ-2026013</x:v>
      </x:c>
      <x:c r="H16" t="str">
        <x:v>ตัวอย่างเท่านั้น</x:v>
      </x:c>
    </x:row>
    <x:row r="17">
      <x:c r="A17" t="str">
        <x:v>EXP-0020</x:v>
      </x:c>
      <x:c r="B17" s="10" t="n">
        <x:v>46270</x:v>
      </x:c>
      <x:c r="C17" t="str">
        <x:v>เดินทาง</x:v>
      </x:c>
      <x:c r="D17" t="str">
        <x:v>รถไฟฟ้าไปพบลูกค้า</x:v>
      </x:c>
      <x:c r="E17" s="12" t="n">
        <x:v>220</x:v>
      </x:c>
      <x:c r="F17" t="str">
        <x:v>บัตร/โอน</x:v>
      </x:c>
      <x:c r="G17" t="str">
        <x:v>PRJ-2026006</x:v>
      </x:c>
      <x:c r="H17" t="str">
        <x:v>ตัวอย่างเท่านั้น</x:v>
      </x:c>
    </x:row>
    <x:row r="18">
      <x:c r="A18" t="str">
        <x:v>EXP-0035</x:v>
      </x:c>
      <x:c r="B18" s="10" t="n">
        <x:v>46271</x:v>
      </x:c>
      <x:c r="C18" t="str">
        <x:v>โฆษณา</x:v>
      </x:c>
      <x:c r="D18" t="str">
        <x:v>ค่าโปรโมตโพสต์</x:v>
      </x:c>
      <x:c r="E18" s="12" t="n">
        <x:v>900</x:v>
      </x:c>
      <x:c r="F18" t="str">
        <x:v>บัตร/โอน</x:v>
      </x:c>
      <x:c r="G18" t="str"/>
      <x:c r="H18" t="str">
        <x:v>ตัวอย่างเท่านั้น</x:v>
      </x:c>
    </x:row>
    <x:row r="19">
      <x:c r="A19" t="str">
        <x:v>EXP-0002</x:v>
      </x:c>
      <x:c r="B19" s="10" t="n">
        <x:v>46274</x:v>
      </x:c>
      <x:c r="C19" t="str">
        <x:v>ซอฟต์แวร์</x:v>
      </x:c>
      <x:c r="D19" t="str">
        <x:v>ค่าพื้นที่เก็บไฟล์</x:v>
      </x:c>
      <x:c r="E19" s="12" t="n">
        <x:v>395</x:v>
      </x:c>
      <x:c r="F19" t="str">
        <x:v>บัตร/โอน</x:v>
      </x:c>
      <x:c r="G19" t="str"/>
      <x:c r="H19" t="str">
        <x:v>ตัวอย่างเท่านั้น</x:v>
      </x:c>
    </x:row>
    <x:row r="20">
      <x:c r="A20" t="str">
        <x:v>EXP-0017</x:v>
      </x:c>
      <x:c r="B20" s="10" t="n">
        <x:v>46275</x:v>
      </x:c>
      <x:c r="C20" t="str">
        <x:v>ค่าแรงทีม</x:v>
      </x:c>
      <x:c r="D20" t="str">
        <x:v>ค่าจ้างตัดต่อฟรีแลนซ์</x:v>
      </x:c>
      <x:c r="E20" s="12" t="n">
        <x:v>1875</x:v>
      </x:c>
      <x:c r="F20" t="str">
        <x:v>เงินสด</x:v>
      </x:c>
      <x:c r="G20" t="str">
        <x:v>PRJ-2026023</x:v>
      </x:c>
      <x:c r="H20" t="str">
        <x:v>ตัวอย่างเท่านั้น</x:v>
      </x:c>
    </x:row>
    <x:row r="21">
      <x:c r="A21" t="str">
        <x:v>EXP-0032</x:v>
      </x:c>
      <x:c r="B21" s="10" t="n">
        <x:v>46276</x:v>
      </x:c>
      <x:c r="C21" t="str">
        <x:v>เดินทาง</x:v>
      </x:c>
      <x:c r="D21" t="str">
        <x:v>รถไฟฟ้าไปพบลูกค้า</x:v>
      </x:c>
      <x:c r="E21" s="12" t="n">
        <x:v>245</x:v>
      </x:c>
      <x:c r="F21" t="str">
        <x:v>บัตร/โอน</x:v>
      </x:c>
      <x:c r="G21" t="str">
        <x:v>PRJ-2026016</x:v>
      </x:c>
      <x:c r="H21" t="str">
        <x:v>ตัวอย่างเท่านั้น</x:v>
      </x:c>
    </x:row>
    <x:row r="22">
      <x:c r="A22" t="str">
        <x:v>EXP-0014</x:v>
      </x:c>
      <x:c r="B22" s="10" t="n">
        <x:v>46280</x:v>
      </x:c>
      <x:c r="C22" t="str">
        <x:v>ซอฟต์แวร์</x:v>
      </x:c>
      <x:c r="D22" t="str">
        <x:v>ค่าพื้นที่เก็บไฟล์</x:v>
      </x:c>
      <x:c r="E22" s="12" t="n">
        <x:v>420</x:v>
      </x:c>
      <x:c r="F22" t="str">
        <x:v>บัตร/โอน</x:v>
      </x:c>
      <x:c r="G22" t="str"/>
      <x:c r="H22" t="str">
        <x:v>ตัวอย่างเท่านั้น</x:v>
      </x:c>
    </x:row>
    <x:row r="23">
      <x:c r="A23" t="str">
        <x:v>EXP-0029</x:v>
      </x:c>
      <x:c r="B23" s="10" t="n">
        <x:v>46281</x:v>
      </x:c>
      <x:c r="C23" t="str">
        <x:v>ค่าแรงทีม</x:v>
      </x:c>
      <x:c r="D23" t="str">
        <x:v>ค่าจ้างตัดต่อฟรีแลนซ์</x:v>
      </x:c>
      <x:c r="E23" s="12" t="n">
        <x:v>1900</x:v>
      </x:c>
      <x:c r="F23" t="str">
        <x:v>เงินสด</x:v>
      </x:c>
      <x:c r="G23" t="str">
        <x:v>PRJ-2026007</x:v>
      </x:c>
      <x:c r="H23" t="str">
        <x:v>ตัวอย่างเท่านั้น</x:v>
      </x:c>
    </x:row>
    <x:row r="24">
      <x:c r="A24" t="str">
        <x:v>EXP-0011</x:v>
      </x:c>
      <x:c r="B24" s="10" t="n">
        <x:v>46285</x:v>
      </x:c>
      <x:c r="C24" t="str">
        <x:v>โฆษณา</x:v>
      </x:c>
      <x:c r="D24" t="str">
        <x:v>ค่าโปรโมตโพสต์</x:v>
      </x:c>
      <x:c r="E24" s="12" t="n">
        <x:v>850</x:v>
      </x:c>
      <x:c r="F24" t="str">
        <x:v>บัตร/โอน</x:v>
      </x:c>
      <x:c r="G24" t="str"/>
      <x:c r="H24" t="str">
        <x:v>ตัวอย่างเท่านั้น</x:v>
      </x:c>
    </x:row>
    <x:row r="25">
      <x:c r="A25" t="str">
        <x:v>EXP-0026</x:v>
      </x:c>
      <x:c r="B25" s="10" t="n">
        <x:v>46286</x:v>
      </x:c>
      <x:c r="C25" t="str">
        <x:v>ซอฟต์แวร์</x:v>
      </x:c>
      <x:c r="D25" t="str">
        <x:v>ค่าพื้นที่เก็บไฟล์</x:v>
      </x:c>
      <x:c r="E25" s="12" t="n">
        <x:v>320</x:v>
      </x:c>
      <x:c r="F25" t="str">
        <x:v>บัตร/โอน</x:v>
      </x:c>
      <x:c r="G25" t="str"/>
      <x:c r="H25" t="str">
        <x:v>ตัวอย่างเท่านั้น</x:v>
      </x:c>
    </x:row>
    <x:row r="26">
      <x:c r="A26" t="str">
        <x:v>EXP-0041</x:v>
      </x:c>
      <x:c r="B26" s="10" t="n">
        <x:v>46287</x:v>
      </x:c>
      <x:c r="C26" t="str">
        <x:v>ค่าแรงทีม</x:v>
      </x:c>
      <x:c r="D26" t="str">
        <x:v>ค่าจ้างตัดต่อฟรีแลนซ์</x:v>
      </x:c>
      <x:c r="E26" s="12" t="n">
        <x:v>1800</x:v>
      </x:c>
      <x:c r="F26" t="str">
        <x:v>เงินสด</x:v>
      </x:c>
      <x:c r="G26" t="str">
        <x:v>PRJ-2026017</x:v>
      </x:c>
      <x:c r="H26" t="str">
        <x:v>ตัวอย่างเท่านั้น</x:v>
      </x:c>
    </x:row>
    <x:row r="27">
      <x:c r="A27" t="str">
        <x:v>EXP-0008</x:v>
      </x:c>
      <x:c r="B27" s="10" t="n">
        <x:v>46290</x:v>
      </x:c>
      <x:c r="C27" t="str">
        <x:v>เดินทาง</x:v>
      </x:c>
      <x:c r="D27" t="str">
        <x:v>รถไฟฟ้าไปพบลูกค้า</x:v>
      </x:c>
      <x:c r="E27" s="12" t="n">
        <x:v>195</x:v>
      </x:c>
      <x:c r="F27" t="str">
        <x:v>บัตร/โอน</x:v>
      </x:c>
      <x:c r="G27" t="str">
        <x:v>PRJ-2026022</x:v>
      </x:c>
      <x:c r="H27" t="str">
        <x:v>ตัวอย่างเท่านั้น</x:v>
      </x:c>
    </x:row>
    <x:row r="28">
      <x:c r="A28" t="str">
        <x:v>EXP-0023</x:v>
      </x:c>
      <x:c r="B28" s="10" t="n">
        <x:v>46291</x:v>
      </x:c>
      <x:c r="C28" t="str">
        <x:v>โฆษณา</x:v>
      </x:c>
      <x:c r="D28" t="str">
        <x:v>ค่าโปรโมตโพสต์</x:v>
      </x:c>
      <x:c r="E28" s="12" t="n">
        <x:v>875</x:v>
      </x:c>
      <x:c r="F28" t="str">
        <x:v>บัตร/โอน</x:v>
      </x:c>
      <x:c r="G28" t="str"/>
      <x:c r="H28" t="str">
        <x:v>ตัวอย่างเท่านั้น</x:v>
      </x:c>
    </x:row>
    <x:row r="29">
      <x:c r="A29" t="str">
        <x:v>EXP-0038</x:v>
      </x:c>
      <x:c r="B29" s="10" t="n">
        <x:v>46292</x:v>
      </x:c>
      <x:c r="C29" t="str">
        <x:v>ซอฟต์แวร์</x:v>
      </x:c>
      <x:c r="D29" t="str">
        <x:v>ค่าพื้นที่เก็บไฟล์</x:v>
      </x:c>
      <x:c r="E29" s="12" t="n">
        <x:v>345</x:v>
      </x:c>
      <x:c r="F29" t="str">
        <x:v>บัตร/โอน</x:v>
      </x:c>
      <x:c r="G29" t="str"/>
      <x:c r="H29" t="str">
        <x:v>ตัวอย่างเท่านั้น</x:v>
      </x:c>
    </x:row>
    <x:row r="30">
      <x:c r="A30" t="str">
        <x:v>EXP-0027</x:v>
      </x:c>
      <x:c r="B30" s="10" t="n">
        <x:v>46297</x:v>
      </x:c>
      <x:c r="C30" t="str">
        <x:v>ซอฟต์แวร์</x:v>
      </x:c>
      <x:c r="D30" t="str">
        <x:v>เครื่องมือออกแบบออนไลน์</x:v>
      </x:c>
      <x:c r="E30" s="12" t="n">
        <x:v>525</x:v>
      </x:c>
      <x:c r="F30" t="str">
        <x:v>บัตร/โอน</x:v>
      </x:c>
      <x:c r="G30" t="str"/>
      <x:c r="H30" t="str">
        <x:v>ตัวอย่างเท่านั้น</x:v>
      </x:c>
    </x:row>
    <x:row r="31">
      <x:c r="A31" t="str">
        <x:v>EXP-0042</x:v>
      </x:c>
      <x:c r="B31" s="10" t="n">
        <x:v>46298</x:v>
      </x:c>
      <x:c r="C31" t="str">
        <x:v>ค่าแรงทีม</x:v>
      </x:c>
      <x:c r="D31" t="str">
        <x:v>ค่าจ้างออกแบบกราฟิก</x:v>
      </x:c>
      <x:c r="E31" s="12" t="n">
        <x:v>1275</x:v>
      </x:c>
      <x:c r="F31" t="str">
        <x:v>บัตร/โอน</x:v>
      </x:c>
      <x:c r="G31" t="str">
        <x:v>PRJ-2026020</x:v>
      </x:c>
      <x:c r="H31" t="str">
        <x:v>ตัวอย่างเท่านั้น</x:v>
      </x:c>
    </x:row>
    <x:row r="32">
      <x:c r="A32" t="str">
        <x:v>EXP-0009</x:v>
      </x:c>
      <x:c r="B32" s="10" t="n">
        <x:v>46301</x:v>
      </x:c>
      <x:c r="C32" t="str">
        <x:v>อุปกรณ์</x:v>
      </x:c>
      <x:c r="D32" t="str">
        <x:v>เมมโมรีการ์ด</x:v>
      </x:c>
      <x:c r="E32" s="12" t="n">
        <x:v>790</x:v>
      </x:c>
      <x:c r="F32" t="str">
        <x:v>เงินสด</x:v>
      </x:c>
      <x:c r="G32" t="str"/>
      <x:c r="H32" t="str">
        <x:v>ตัวอย่างเท่านั้น</x:v>
      </x:c>
    </x:row>
    <x:row r="33">
      <x:c r="A33" t="str">
        <x:v>EXP-0024</x:v>
      </x:c>
      <x:c r="B33" s="10" t="n">
        <x:v>46302</x:v>
      </x:c>
      <x:c r="C33" t="str">
        <x:v>อื่น ๆ</x:v>
      </x:c>
      <x:c r="D33" t="str">
        <x:v>อุปกรณ์สำนักงาน</x:v>
      </x:c>
      <x:c r="E33" s="12" t="n">
        <x:v>360</x:v>
      </x:c>
      <x:c r="F33" t="str">
        <x:v>บัตร/โอน</x:v>
      </x:c>
      <x:c r="G33" t="str"/>
      <x:c r="H33" t="str">
        <x:v>ตัวอย่างเท่านั้น</x:v>
      </x:c>
    </x:row>
    <x:row r="34">
      <x:c r="A34" t="str">
        <x:v>EXP-0039</x:v>
      </x:c>
      <x:c r="B34" s="10" t="n">
        <x:v>46303</x:v>
      </x:c>
      <x:c r="C34" t="str">
        <x:v>ซอฟต์แวร์</x:v>
      </x:c>
      <x:c r="D34" t="str">
        <x:v>เครื่องมือออกแบบออนไลน์</x:v>
      </x:c>
      <x:c r="E34" s="12" t="n">
        <x:v>550</x:v>
      </x:c>
      <x:c r="F34" t="str">
        <x:v>บัตร/โอน</x:v>
      </x:c>
      <x:c r="G34" t="str"/>
      <x:c r="H34" t="str">
        <x:v>ตัวอย่างเท่านั้น</x:v>
      </x:c>
    </x:row>
    <x:row r="35">
      <x:c r="A35" t="str">
        <x:v>EXP-0006</x:v>
      </x:c>
      <x:c r="B35" s="10" t="n">
        <x:v>46306</x:v>
      </x:c>
      <x:c r="C35" t="str">
        <x:v>ค่าแรงทีม</x:v>
      </x:c>
      <x:c r="D35" t="str">
        <x:v>ค่าจ้างออกแบบกราฟิก</x:v>
      </x:c>
      <x:c r="E35" s="12" t="n">
        <x:v>1200</x:v>
      </x:c>
      <x:c r="F35" t="str">
        <x:v>บัตร/โอน</x:v>
      </x:c>
      <x:c r="G35" t="str">
        <x:v>PRJ-2026016</x:v>
      </x:c>
      <x:c r="H35" t="str">
        <x:v>ตัวอย่างเท่านั้น</x:v>
      </x:c>
    </x:row>
    <x:row r="36">
      <x:c r="A36" t="str">
        <x:v>EXP-0021</x:v>
      </x:c>
      <x:c r="B36" s="10" t="n">
        <x:v>46307</x:v>
      </x:c>
      <x:c r="C36" t="str">
        <x:v>อุปกรณ์</x:v>
      </x:c>
      <x:c r="D36" t="str">
        <x:v>เมมโมรีการ์ด</x:v>
      </x:c>
      <x:c r="E36" s="12" t="n">
        <x:v>690</x:v>
      </x:c>
      <x:c r="F36" t="str">
        <x:v>เงินสด</x:v>
      </x:c>
      <x:c r="G36" t="str"/>
      <x:c r="H36" t="str">
        <x:v>ตัวอย่างเท่านั้น</x:v>
      </x:c>
    </x:row>
    <x:row r="37">
      <x:c r="A37" t="str">
        <x:v>EXP-0036</x:v>
      </x:c>
      <x:c r="B37" s="10" t="n">
        <x:v>46308</x:v>
      </x:c>
      <x:c r="C37" t="str">
        <x:v>อื่น ๆ</x:v>
      </x:c>
      <x:c r="D37" t="str">
        <x:v>อุปกรณ์สำนักงาน</x:v>
      </x:c>
      <x:c r="E37" s="12" t="n">
        <x:v>260</x:v>
      </x:c>
      <x:c r="F37" t="str">
        <x:v>บัตร/โอน</x:v>
      </x:c>
      <x:c r="G37" t="str"/>
      <x:c r="H37" t="str">
        <x:v>ตัวอย่างเท่านั้น</x:v>
      </x:c>
    </x:row>
    <x:row r="38">
      <x:c r="A38" t="str">
        <x:v>EXP-0003</x:v>
      </x:c>
      <x:c r="B38" s="10" t="n">
        <x:v>46311</x:v>
      </x:c>
      <x:c r="C38" t="str">
        <x:v>ซอฟต์แวร์</x:v>
      </x:c>
      <x:c r="D38" t="str">
        <x:v>เครื่องมือออกแบบออนไลน์</x:v>
      </x:c>
      <x:c r="E38" s="12" t="n">
        <x:v>475</x:v>
      </x:c>
      <x:c r="F38" t="str">
        <x:v>บัตร/โอน</x:v>
      </x:c>
      <x:c r="G38" t="str"/>
      <x:c r="H38" t="str">
        <x:v>ตัวอย่างเท่านั้น</x:v>
      </x:c>
    </x:row>
    <x:row r="39">
      <x:c r="A39" t="str">
        <x:v>EXP-0018</x:v>
      </x:c>
      <x:c r="B39" s="10" t="n">
        <x:v>46312</x:v>
      </x:c>
      <x:c r="C39" t="str">
        <x:v>ค่าแรงทีม</x:v>
      </x:c>
      <x:c r="D39" t="str">
        <x:v>ค่าจ้างออกแบบกราฟิก</x:v>
      </x:c>
      <x:c r="E39" s="12" t="n">
        <x:v>1225</x:v>
      </x:c>
      <x:c r="F39" t="str">
        <x:v>บัตร/โอน</x:v>
      </x:c>
      <x:c r="G39" t="str">
        <x:v>PRJ-2026026</x:v>
      </x:c>
      <x:c r="H39" t="str">
        <x:v>ตัวอย่างเท่านั้น</x:v>
      </x:c>
    </x:row>
    <x:row r="40">
      <x:c r="A40" t="str">
        <x:v>EXP-0033</x:v>
      </x:c>
      <x:c r="B40" s="10" t="n">
        <x:v>46313</x:v>
      </x:c>
      <x:c r="C40" t="str">
        <x:v>อุปกรณ์</x:v>
      </x:c>
      <x:c r="D40" t="str">
        <x:v>เมมโมรีการ์ด</x:v>
      </x:c>
      <x:c r="E40" s="12" t="n">
        <x:v>715</x:v>
      </x:c>
      <x:c r="F40" t="str">
        <x:v>เงินสด</x:v>
      </x:c>
      <x:c r="G40" t="str"/>
      <x:c r="H40" t="str">
        <x:v>ตัวอย่างเท่านั้น</x:v>
      </x:c>
    </x:row>
    <x:row r="41">
      <x:c r="A41" t="str">
        <x:v>EXP-0015</x:v>
      </x:c>
      <x:c r="B41" s="10" t="n">
        <x:v>46317</x:v>
      </x:c>
      <x:c r="C41" t="str">
        <x:v>ซอฟต์แวร์</x:v>
      </x:c>
      <x:c r="D41" t="str">
        <x:v>เครื่องมือออกแบบออนไลน์</x:v>
      </x:c>
      <x:c r="E41" s="12" t="n">
        <x:v>500</x:v>
      </x:c>
      <x:c r="F41" t="str">
        <x:v>บัตร/โอน</x:v>
      </x:c>
      <x:c r="G41" t="str"/>
      <x:c r="H41" t="str">
        <x:v>ตัวอย่างเท่านั้น</x:v>
      </x:c>
    </x:row>
    <x:row r="42">
      <x:c r="A42" t="str">
        <x:v>EXP-0030</x:v>
      </x:c>
      <x:c r="B42" s="10" t="n">
        <x:v>46318</x:v>
      </x:c>
      <x:c r="C42" t="str">
        <x:v>ค่าแรงทีม</x:v>
      </x:c>
      <x:c r="D42" t="str">
        <x:v>ค่าจ้างออกแบบกราฟิก</x:v>
      </x:c>
      <x:c r="E42" s="12" t="n">
        <x:v>1250</x:v>
      </x:c>
      <x:c r="F42" t="str">
        <x:v>บัตร/โอน</x:v>
      </x:c>
      <x:c r="G42" t="str">
        <x:v>PRJ-2026010</x:v>
      </x:c>
      <x:c r="H42" t="str">
        <x:v>ตัวอย่างเท่านั้น</x:v>
      </x:c>
    </x:row>
    <x:row r="43">
      <x:c r="A43" t="str">
        <x:v>EXP-0012</x:v>
      </x:c>
      <x:c r="B43" s="10" t="n">
        <x:v>46322</x:v>
      </x:c>
      <x:c r="C43" t="str">
        <x:v>อื่น ๆ</x:v>
      </x:c>
      <x:c r="D43" t="str">
        <x:v>อุปกรณ์สำนักงาน</x:v>
      </x:c>
      <x:c r="E43" s="12" t="n">
        <x:v>335</x:v>
      </x:c>
      <x:c r="F43" t="str">
        <x:v>บัตร/โอน</x:v>
      </x:c>
      <x:c r="G43" t="str"/>
      <x:c r="H43" t="str">
        <x:v>ตัวอย่างเท่านั้น</x:v>
      </x:c>
    </x:row>
  </x:sheetData>
  <x:dataValidations count="1">
    <x:dataValidation type="list" sqref="C2:C43">
      <x:formula1>"ซอฟต์แวร์,อินเทอร์เน็ต,ค่าแรงทีม,เดินทาง,อุปกรณ์,โฆษณา,อื่น 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4a845d73874d1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5" hidden="0" customWidth="1"/>
    <x:col min="4" max="4" width="30" hidden="0" customWidth="1"/>
    <x:col min="5" max="5" width="24" hidden="0" customWidth="1"/>
    <x:col min="6" max="6" width="23" hidden="0" customWidth="1"/>
    <x:col min="7" max="7" width="25" hidden="0" customWidth="1"/>
    <x:col min="8" max="8" width="25" hidden="0" customWidth="1"/>
    <x:col min="9" max="9" width="36" hidden="0" customWidth="1"/>
  </x:cols>
  <x:sheetData>
    <x:row r="1" ht="30" customHeight="1">
      <x:c r="A1" s="5" t="str">
        <x:v>รหัสลูกค้า</x:v>
      </x:c>
      <x:c r="B1" s="5" t="str">
        <x:v>ชื่อลูกค้า</x:v>
      </x:c>
      <x:c r="C1" s="5" t="str">
        <x:v>ประเภทธุรกิจ</x:v>
      </x:c>
      <x:c r="D1" s="5" t="str">
        <x:v>อีเมล (สมมติ)</x:v>
      </x:c>
      <x:c r="E1" s="5" t="str">
        <x:v>เครดิตปกติ (วัน)</x:v>
      </x:c>
      <x:c r="F1" s="5" t="str">
        <x:v>จำนวนงาน (คำนวณ)</x:v>
      </x:c>
      <x:c r="G1" s="5" t="str">
        <x:v>มูลค่างาน (คำนวณ)</x:v>
      </x:c>
      <x:c r="H1" s="5" t="str">
        <x:v>ค้างรับสุทธิ (คำนวณ)</x:v>
      </x:c>
      <x:c r="I1" s="5" t="str">
        <x:v>หมายเหตุ</x:v>
      </x:c>
    </x:row>
    <x:row r="2">
      <x:c r="A2" t="str">
        <x:v>C001</x:v>
      </x:c>
      <x:c r="B2" t="str">
        <x:v>Aster Coffee</x:v>
      </x:c>
      <x:c r="C2" t="str">
        <x:v>ร้านอาหารและเครื่องดื่ม</x:v>
      </x:c>
      <x:c r="D2" t="str">
        <x:v>client01@example.com</x:v>
      </x:c>
      <x:c r="E2" t="n">
        <x:v>30</x:v>
      </x:c>
      <x:c r="F2" s="19" t="n">
        <x:f>COUNTIF('งาน_รายรับ'!$B$2:$B$100,B2)</x:f>
        <x:v>3</x:v>
      </x:c>
      <x:c r="G2" s="18" t="n">
        <x:f>SUMIF('งาน_รายรับ'!$B$2:$B$100,B2,'งาน_รายรับ'!$I$2:$I$100)</x:f>
        <x:v>21000</x:v>
      </x:c>
      <x:c r="H2" s="18" t="n">
        <x:f>SUMIF('งาน_รายรับ'!$B$2:$B$100,B2,'งาน_รายรับ'!$M$2:$M$100)</x:f>
        <x:v>4455</x:v>
      </x:c>
      <x:c r="I2" t="str">
        <x:v>ลูกค้าตัวอย่าง ไม่ใช่ข้อมูลจริง</x:v>
      </x:c>
    </x:row>
    <x:row r="3">
      <x:c r="A3" t="str">
        <x:v>C002</x:v>
      </x:c>
      <x:c r="B3" t="str">
        <x:v>Northstar Studio</x:v>
      </x:c>
      <x:c r="C3" t="str">
        <x:v>สตูดิโอครีเอทีฟ</x:v>
      </x:c>
      <x:c r="D3" t="str">
        <x:v>client02@example.com</x:v>
      </x:c>
      <x:c r="E3" t="n">
        <x:v>45</x:v>
      </x:c>
      <x:c r="F3" s="19" t="n">
        <x:f>COUNTIF('งาน_รายรับ'!$B$2:$B$100,B3)</x:f>
        <x:v>3</x:v>
      </x:c>
      <x:c r="G3" s="18" t="n">
        <x:f>SUMIF('งาน_รายรับ'!$B$2:$B$100,B3,'งาน_รายรับ'!$I$2:$I$100)</x:f>
        <x:v>37800</x:v>
      </x:c>
      <x:c r="H3" s="18" t="n">
        <x:f>SUMIF('งาน_รายรับ'!$B$2:$B$100,B3,'งาน_รายรับ'!$M$2:$M$100)</x:f>
        <x:v>16236</x:v>
      </x:c>
      <x:c r="I3" t="str">
        <x:v>ลูกค้าตัวอย่าง ไม่ใช่ข้อมูลจริง</x:v>
      </x:c>
    </x:row>
    <x:row r="4">
      <x:c r="A4" t="str">
        <x:v>C003</x:v>
      </x:c>
      <x:c r="B4" t="str">
        <x:v>Mellow Living</x:v>
      </x:c>
      <x:c r="C4" t="str">
        <x:v>สินค้าไลฟ์สไตล์</x:v>
      </x:c>
      <x:c r="D4" t="str">
        <x:v>client03@example.com</x:v>
      </x:c>
      <x:c r="E4" t="n">
        <x:v>30</x:v>
      </x:c>
      <x:c r="F4" s="19" t="n">
        <x:f>COUNTIF('งาน_รายรับ'!$B$2:$B$100,B4)</x:f>
        <x:v>3</x:v>
      </x:c>
      <x:c r="G4" s="18" t="n">
        <x:f>SUMIF('งาน_รายรับ'!$B$2:$B$100,B4,'งาน_รายรับ'!$I$2:$I$100)</x:f>
        <x:v>26000</x:v>
      </x:c>
      <x:c r="H4" s="18" t="n">
        <x:f>SUMIF('งาน_รายรับ'!$B$2:$B$100,B4,'งาน_รายรับ'!$M$2:$M$100)</x:f>
        <x:v>4455</x:v>
      </x:c>
      <x:c r="I4" t="str">
        <x:v>ลูกค้าตัวอย่าง ไม่ใช่ข้อมูลจริง</x:v>
      </x:c>
    </x:row>
    <x:row r="5">
      <x:c r="A5" t="str">
        <x:v>C004</x:v>
      </x:c>
      <x:c r="B5" t="str">
        <x:v>Bloom Beauty</x:v>
      </x:c>
      <x:c r="C5" t="str">
        <x:v>ความงาม</x:v>
      </x:c>
      <x:c r="D5" t="str">
        <x:v>client04@example.com</x:v>
      </x:c>
      <x:c r="E5" t="n">
        <x:v>60</x:v>
      </x:c>
      <x:c r="F5" s="19" t="n">
        <x:f>COUNTIF('งาน_รายรับ'!$B$2:$B$100,B5)</x:f>
        <x:v>3</x:v>
      </x:c>
      <x:c r="G5" s="18" t="n">
        <x:f>SUMIF('งาน_รายรับ'!$B$2:$B$100,B5,'งาน_รายรับ'!$I$2:$I$100)</x:f>
        <x:v>33100</x:v>
      </x:c>
      <x:c r="H5" s="18" t="n">
        <x:f>SUMIF('งาน_รายรับ'!$B$2:$B$100,B5,'งาน_รายรับ'!$M$2:$M$100)</x:f>
        <x:v>32769</x:v>
      </x:c>
      <x:c r="I5" t="str">
        <x:v>ลูกค้าตัวอย่าง ไม่ใช่ข้อมูลจริง</x:v>
      </x:c>
    </x:row>
    <x:row r="6">
      <x:c r="A6" t="str">
        <x:v>C005</x:v>
      </x:c>
      <x:c r="B6" t="str">
        <x:v>Greenroot Market</x:v>
      </x:c>
      <x:c r="C6" t="str">
        <x:v>ค้าปลีก</x:v>
      </x:c>
      <x:c r="D6" t="str">
        <x:v>client05@example.com</x:v>
      </x:c>
      <x:c r="E6" t="n">
        <x:v>0</x:v>
      </x:c>
      <x:c r="F6" s="19" t="n">
        <x:f>COUNTIF('งาน_รายรับ'!$B$2:$B$100,B6)</x:f>
        <x:v>2</x:v>
      </x:c>
      <x:c r="G6" s="18" t="n">
        <x:f>SUMIF('งาน_รายรับ'!$B$2:$B$100,B6,'งาน_รายรับ'!$I$2:$I$100)</x:f>
        <x:v>13500</x:v>
      </x:c>
      <x:c r="H6" s="18" t="n">
        <x:f>SUMIF('งาน_รายรับ'!$B$2:$B$100,B6,'งาน_รายรับ'!$M$2:$M$100)</x:f>
        <x:v>0</x:v>
      </x:c>
      <x:c r="I6" t="str">
        <x:v>ลูกค้าตัวอย่าง ไม่ใช่ข้อมูลจริง</x:v>
      </x:c>
    </x:row>
    <x:row r="7">
      <x:c r="A7" t="str">
        <x:v>C006</x:v>
      </x:c>
      <x:c r="B7" t="str">
        <x:v>Cloudnine Tech</x:v>
      </x:c>
      <x:c r="C7" t="str">
        <x:v>เทคโนโลยี</x:v>
      </x:c>
      <x:c r="D7" t="str">
        <x:v>client06@example.com</x:v>
      </x:c>
      <x:c r="E7" t="n">
        <x:v>45</x:v>
      </x:c>
      <x:c r="F7" s="19" t="n">
        <x:f>COUNTIF('งาน_รายรับ'!$B$2:$B$100,B7)</x:f>
        <x:v>3</x:v>
      </x:c>
      <x:c r="G7" s="18" t="n">
        <x:f>SUMIF('งาน_รายรับ'!$B$2:$B$100,B7,'งาน_รายรับ'!$I$2:$I$100)</x:f>
        <x:v>64500</x:v>
      </x:c>
      <x:c r="H7" s="18" t="n">
        <x:f>SUMIF('งาน_รายรับ'!$B$2:$B$100,B7,'งาน_รายรับ'!$M$2:$M$100)</x:f>
        <x:v>44302.5</x:v>
      </x:c>
      <x:c r="I7" t="str">
        <x:v>ลูกค้าตัวอย่าง ไม่ใช่ข้อมูลจริง</x:v>
      </x:c>
    </x:row>
    <x:row r="8">
      <x:c r="A8" t="str">
        <x:v>C007</x:v>
      </x:c>
      <x:c r="B8" t="str">
        <x:v>Urban Motion</x:v>
      </x:c>
      <x:c r="C8" t="str">
        <x:v>แฟชั่น</x:v>
      </x:c>
      <x:c r="D8" t="str">
        <x:v>client07@example.com</x:v>
      </x:c>
      <x:c r="E8" t="n">
        <x:v>30</x:v>
      </x:c>
      <x:c r="F8" s="19" t="n">
        <x:f>COUNTIF('งาน_รายรับ'!$B$2:$B$100,B8)</x:f>
        <x:v>3</x:v>
      </x:c>
      <x:c r="G8" s="18" t="n">
        <x:f>SUMIF('งาน_รายรับ'!$B$2:$B$100,B8,'งาน_รายรับ'!$I$2:$I$100)</x:f>
        <x:v>17100</x:v>
      </x:c>
      <x:c r="H8" s="18" t="n">
        <x:f>SUMIF('งาน_รายรับ'!$B$2:$B$100,B8,'งาน_รายรับ'!$M$2:$M$100)</x:f>
        <x:v>11781</x:v>
      </x:c>
      <x:c r="I8" t="str">
        <x:v>ลูกค้าตัวอย่าง ไม่ใช่ข้อมูลจริง</x:v>
      </x:c>
    </x:row>
    <x:row r="9">
      <x:c r="A9" t="str">
        <x:v>C008</x:v>
      </x:c>
      <x:c r="B9" t="str">
        <x:v>Little Planet</x:v>
      </x:c>
      <x:c r="C9" t="str">
        <x:v>การศึกษา</x:v>
      </x:c>
      <x:c r="D9" t="str">
        <x:v>client08@example.com</x:v>
      </x:c>
      <x:c r="E9" t="n">
        <x:v>0</x:v>
      </x:c>
      <x:c r="F9" s="19" t="n">
        <x:f>COUNTIF('งาน_รายรับ'!$B$2:$B$100,B9)</x:f>
        <x:v>2</x:v>
      </x:c>
      <x:c r="G9" s="18" t="n">
        <x:f>SUMIF('งาน_รายรับ'!$B$2:$B$100,B9,'งาน_รายรับ'!$I$2:$I$100)</x:f>
        <x:v>7200</x:v>
      </x:c>
      <x:c r="H9" s="18" t="n">
        <x:f>SUMIF('งาน_รายรับ'!$B$2:$B$100,B9,'งาน_รายรับ'!$M$2:$M$100)</x:f>
        <x:v>0</x:v>
      </x:c>
      <x:c r="I9" t="str">
        <x:v>ลูกค้าตัวอย่าง ไม่ใช่ข้อมูลจริง</x:v>
      </x:c>
    </x:row>
    <x:row r="10">
      <x:c r="A10" t="str">
        <x:v>C009</x:v>
      </x:c>
      <x:c r="B10" t="str">
        <x:v>Sunny Weekend</x:v>
      </x:c>
      <x:c r="C10" t="str">
        <x:v>ท่องเที่ยว</x:v>
      </x:c>
      <x:c r="D10" t="str">
        <x:v>client09@example.com</x:v>
      </x:c>
      <x:c r="E10" t="n">
        <x:v>60</x:v>
      </x:c>
      <x:c r="F10" s="19" t="n">
        <x:f>COUNTIF('งาน_รายรับ'!$B$2:$B$100,B10)</x:f>
        <x:v>2</x:v>
      </x:c>
      <x:c r="G10" s="18" t="n">
        <x:f>SUMIF('งาน_รายรับ'!$B$2:$B$100,B10,'งาน_รายรับ'!$I$2:$I$100)</x:f>
        <x:v>17000</x:v>
      </x:c>
      <x:c r="H10" s="18" t="n">
        <x:f>SUMIF('งาน_รายรับ'!$B$2:$B$100,B10,'งาน_รายรับ'!$M$2:$M$100)</x:f>
        <x:v>16830</x:v>
      </x:c>
      <x:c r="I10" t="str">
        <x:v>ลูกค้าตัวอย่าง ไม่ใช่ข้อมูลจริง</x:v>
      </x:c>
    </x:row>
    <x:row r="11">
      <x:c r="A11" t="str">
        <x:v>C010</x:v>
      </x:c>
      <x:c r="B11" t="str">
        <x:v>Sora Home</x:v>
      </x:c>
      <x:c r="C11" t="str">
        <x:v>ของแต่งบ้าน</x:v>
      </x:c>
      <x:c r="D11" t="str">
        <x:v>client10@example.com</x:v>
      </x:c>
      <x:c r="E11" t="n">
        <x:v>30</x:v>
      </x:c>
      <x:c r="F11" s="19" t="n">
        <x:f>COUNTIF('งาน_รายรับ'!$B$2:$B$100,B11)</x:f>
        <x:v>2</x:v>
      </x:c>
      <x:c r="G11" s="18" t="n">
        <x:f>SUMIF('งาน_รายรับ'!$B$2:$B$100,B11,'งาน_รายรับ'!$I$2:$I$100)</x:f>
        <x:v>13500</x:v>
      </x:c>
      <x:c r="H11" s="18" t="n">
        <x:f>SUMIF('งาน_รายรับ'!$B$2:$B$100,B11,'งาน_รายรับ'!$M$2:$M$100)</x:f>
        <x:v>4207.5</x:v>
      </x:c>
      <x:c r="I11" t="str">
        <x:v>ลูกค้าตัวอย่าง ไม่ใช่ข้อมูลจริง</x:v>
      </x:c>
    </x:row>
  </x:sheetData>
  <x:pageMargins left="0.7" right="0.7" top="0.75" bottom="0.75" header="0.3" footer="0.3"/>
  <x:tableParts count="1">
    <x:tablePart xmlns:r="http://schemas.openxmlformats.org/officeDocument/2006/relationships" r:id="Re926228fba2643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5" customHeight="1">
      <x:c r="A1" s="79" t="str">
        <x:v>คู่มือการใช้บัญชีจำลอง / KRAROK DEMO</x:v>
      </x:c>
      <x:c r="B1" s="79"/>
      <x:c r="C1" s="79"/>
      <x:c r="D1" s="79"/>
      <x:c r="E1" s="79"/>
      <x:c r="F1" s="79"/>
      <x:c r="G1" s="79"/>
      <x:c r="H1" s="79"/>
    </x:row>
    <x:row r="2" ht="25" customHeight="1">
      <x:c r="A2" s="79"/>
      <x:c r="B2" s="79"/>
      <x:c r="C2" s="79"/>
      <x:c r="D2" s="79"/>
      <x:c r="E2" s="79"/>
      <x:c r="F2" s="79"/>
      <x:c r="G2" s="79"/>
      <x:c r="H2" s="79"/>
    </x:row>
    <x:row r="4" ht="28" customHeight="1">
      <x:c r="A4" s="83" t="str">
        <x:v>ไฟล์นี้เป็นข้อมูลสมมติ 100% ไม่ใช่รายรับรายจ่ายจริง และไม่ควรใช้ยื่นภาษี</x:v>
      </x:c>
      <x:c r="B4" s="83"/>
      <x:c r="C4" s="83"/>
      <x:c r="D4" s="83"/>
      <x:c r="E4" s="83"/>
      <x:c r="F4" s="83"/>
      <x:c r="G4" s="83"/>
      <x:c r="H4" s="83"/>
    </x:row>
    <x:row r="6" ht="29" customHeight="1">
      <x:c r="A6" s="87" t="str">
        <x:v>ชีต</x:v>
      </x:c>
      <x:c r="B6" s="87" t="str">
        <x:v>ใช้งานอย่างไร</x:v>
      </x:c>
    </x:row>
    <x:row r="7" ht="34" customHeight="1">
      <x:c r="A7" s="90" t="str">
        <x:v>ภาพรวม</x:v>
      </x:c>
      <x:c r="B7" s="92" t="str">
        <x:v>Dashboard คำนวณจากชีตข้อมูลโดยอัตโนมัติ เห็นเงินเข้า เงินออก ยอดค้างรับ และตัวเลขรายเดือน</x:v>
      </x:c>
    </x:row>
    <x:row r="8" ht="34" customHeight="1">
      <x:c r="A8" s="90" t="str">
        <x:v>งาน_รายรับ</x:v>
      </x:c>
      <x:c r="B8" s="92" t="str">
        <x:v>งานขาย/โปรเจกต์ 26 รายการ; วันที่ส่งงาน + เครดิตเทอม = วันครบกำหนด</x:v>
      </x:c>
    </x:row>
    <x:row r="9" ht="34" customHeight="1">
      <x:c r="A9" s="90" t="str">
        <x:v>รับชำระเงิน</x:v>
      </x:c>
      <x:c r="B9" s="92" t="str">
        <x:v>บันทึกยอดรับเงินจริง; รหัสงานต้องตรงกับคอลัมน์ A ของชีต งาน_รายรับ</x:v>
      </x:c>
    </x:row>
    <x:row r="10" ht="34" customHeight="1">
      <x:c r="A10" s="90" t="str">
        <x:v>รายจ่าย</x:v>
      </x:c>
      <x:c r="B10" s="92" t="str">
        <x:v>บันทึกค่าใช้จ่ายตามวันและหมวดหมู่; บางรายการผูกกับรหัสงาน</x:v>
      </x:c>
    </x:row>
    <x:row r="11" ht="34" customHeight="1">
      <x:c r="A11" s="90" t="str">
        <x:v>ลูกค้า</x:v>
      </x:c>
      <x:c r="B11" s="92" t="str">
        <x:v>ข้อมูลตัวอย่าง 10 ลูกค้า; สรุปจำนวนงาน มูลค่างาน และยอดค้างรับ</x:v>
      </x:c>
    </x:row>
    <x:row r="12" ht="34" customHeight="1">
      <x:c r="A12" s="90" t="str">
        <x:v>คอลัมน์สูตร</x:v>
      </x:c>
      <x:c r="B12" s="92" t="str">
        <x:v>ในชีต งาน_รายรับ คอลัมน์ H,K,L,M,N เป็นสูตร ไม่จำเป็นต้องนำเข้าซ้ำ</x:v>
      </x:c>
    </x:row>
    <x:row r="15" ht="29" customHeight="1">
      <x:c r="A15" s="94" t="str">
        <x:v>ข้อแนะนำเมื่อนำเข้า Krarok หรือระบบจัดการบัญชีอื่น</x:v>
      </x:c>
      <x:c r="B15" s="94"/>
      <x:c r="C15" s="94"/>
      <x:c r="D15" s="94"/>
      <x:c r="E15" s="94"/>
      <x:c r="F15" s="94"/>
      <x:c r="G15" s="94"/>
      <x:c r="H15" s="94"/>
    </x:row>
    <x:row r="17" ht="28" customHeight="1">
      <x:c r="A17" s="97" t="str">
        <x:v>1. นำเข้าเป็นชีตแยก: ลูกค้า → งาน_รายรับ → รับชำระเงิน → รายจ่าย</x:v>
      </x:c>
      <x:c r="B17" s="97"/>
      <x:c r="C17" s="97"/>
      <x:c r="D17" s="97"/>
      <x:c r="E17" s="97"/>
      <x:c r="F17" s="97"/>
      <x:c r="G17" s="97"/>
      <x:c r="H17" s="97"/>
    </x:row>
    <x:row r="18" ht="28" customHeight="1">
      <x:c r="A18" s="101" t="str">
        <x:v>2. สำหรับงาน นำเข้า รหัสงาน, ลูกค้า, ชื่องาน, ประเภทงาน, วันที่เริ่ม/ส่ง, เครดิตเทอม, มูลค่างาน และ % หัก ณ ที่จ่าย</x:v>
      </x:c>
      <x:c r="B18" s="101"/>
      <x:c r="C18" s="101"/>
      <x:c r="D18" s="101"/>
      <x:c r="E18" s="101"/>
      <x:c r="F18" s="101"/>
      <x:c r="G18" s="101"/>
      <x:c r="H18" s="101"/>
    </x:row>
    <x:row r="19" ht="28" customHeight="1">
      <x:c r="A19" s="97" t="str">
        <x:v>3. ข้ามคอลัมน์ที่มีข้อความ '(คำนวณ)' หากระบบปลายทางคำนวณฟิลด์นั้นเอง</x:v>
      </x:c>
      <x:c r="B19" s="97"/>
      <x:c r="C19" s="97"/>
      <x:c r="D19" s="97"/>
      <x:c r="E19" s="97"/>
      <x:c r="F19" s="97"/>
      <x:c r="G19" s="97"/>
      <x:c r="H19" s="97"/>
    </x:row>
    <x:row r="20" ht="28" customHeight="1">
      <x:c r="A20" s="101" t="str">
        <x:v>4. รายการรับเงินใช้ 'รหัสงาน' จับคู่กับงาน และเป็นยอดสุทธิหลังหักภาษี ณ ที่จ่าย (หากมี)</x:v>
      </x:c>
      <x:c r="B20" s="101"/>
      <x:c r="C20" s="101"/>
      <x:c r="D20" s="101"/>
      <x:c r="E20" s="101"/>
      <x:c r="F20" s="101"/>
      <x:c r="G20" s="101"/>
      <x:c r="H20" s="101"/>
    </x:row>
    <x:row r="21" ht="28" customHeight="1">
      <x:c r="A21" s="97" t="str">
        <x:v>5. ค่าใช้จ่ายเป็นเงินที่จ่ายจริงและใช้ค่าเป็นบวกทั้งหมด ไม่รวมในรายการรับชำระเงิน</x:v>
      </x:c>
      <x:c r="B21" s="97"/>
      <x:c r="C21" s="97"/>
      <x:c r="D21" s="97"/>
      <x:c r="E21" s="97"/>
      <x:c r="F21" s="97"/>
      <x:c r="G21" s="97"/>
      <x:c r="H21" s="97"/>
    </x:row>
    <x:row r="22" ht="28" customHeight="1">
      <x:c r="A22" s="101" t="str">
        <x:v>6. หากระบบไม่รองรับหลายชีต ให้แยก Export แต่ละชีตเป็น CSV (UTF-8) ก่อนนำเข้า</x:v>
      </x:c>
      <x:c r="B22" s="101"/>
      <x:c r="C22" s="101"/>
      <x:c r="D22" s="101"/>
      <x:c r="E22" s="101"/>
      <x:c r="F22" s="101"/>
      <x:c r="G22" s="101"/>
      <x:c r="H22" s="101"/>
    </x:row>
    <x:row r="23" ht="28" customHeight="1">
      <x:c r="A23" s="97" t="str">
        <x:v>7. ชื่อลูกค้าและอีเมลทั้งหมดสมมติ โดยใช้อีเมลภายใต้ example.com</x:v>
      </x:c>
      <x:c r="B23" s="97"/>
      <x:c r="C23" s="97"/>
      <x:c r="D23" s="97"/>
      <x:c r="E23" s="97"/>
      <x:c r="F23" s="97"/>
      <x:c r="G23" s="97"/>
      <x:c r="H23" s="97"/>
    </x:row>
    <x:row r="24" ht="28" customHeight="1">
      <x:c r="A24" s="101" t="str">
        <x:v>8. วันที่และราคาทั้งหมดสามารถแก้ไขทดลองได้; สูตรจะอัปเดตสรุปตามข้อมูลที่แก้ไข</x:v>
      </x:c>
      <x:c r="B24" s="101"/>
      <x:c r="C24" s="101"/>
      <x:c r="D24" s="101"/>
      <x:c r="E24" s="101"/>
      <x:c r="F24" s="101"/>
      <x:c r="G24" s="101"/>
      <x:c r="H24" s="101"/>
    </x:row>
    <x:row r="27" ht="28" customHeight="1">
      <x:c r="A27" s="87" t="str">
        <x:v>นิยามยอดเงิน / สูตรหลัก</x:v>
      </x:c>
      <x:c r="B27" s="87"/>
      <x:c r="C27" s="87"/>
      <x:c r="D27" s="87"/>
      <x:c r="E27" s="87"/>
      <x:c r="F27" s="87"/>
      <x:c r="G27" s="87"/>
      <x:c r="H27" s="87"/>
    </x:row>
    <x:row r="28" ht="26" customHeight="1">
      <x:c r="A28" s="90" t="str">
        <x:v>มูลค่างาน</x:v>
      </x:c>
      <x:c r="B28" t="str">
        <x:v>ยอดตามตกลงก่อนภาษีหัก ณ ที่จ่าย</x:v>
      </x:c>
    </x:row>
    <x:row r="29" ht="26" customHeight="1">
      <x:c r="A29" s="90" t="str">
        <x:v>ยอดรับสุทธิ</x:v>
      </x:c>
      <x:c r="B29" t="str">
        <x:v>มูลค่างาน × (1 − อัตราหัก ณ ที่จ่าย)</x:v>
      </x:c>
    </x:row>
    <x:row r="30" ht="26" customHeight="1">
      <x:c r="A30" s="90" t="str">
        <x:v>ยอดรับแล้ว</x:v>
      </x:c>
      <x:c r="B30" t="str">
        <x:v>ผลรวมของการชำระเงินที่อ้างรหัสงานเดียวกัน</x:v>
      </x:c>
    </x:row>
    <x:row r="31" ht="26" customHeight="1">
      <x:c r="A31" s="90" t="str">
        <x:v>ยอดค้างรับ</x:v>
      </x:c>
      <x:c r="B31" t="str">
        <x:v>ยอดรับสุทธิ − ยอดรับแล้ว (ต่ำสุด 0)</x:v>
      </x:c>
    </x:row>
    <x:row r="32" ht="26" customHeight="1">
      <x:c r="A32" s="90" t="str">
        <x:v>เงินสดสุทธิ</x:v>
      </x:c>
      <x:c r="B32" t="str">
        <x:v>เงินรับจริงทั้งหมด − รายจ่ายจริงทั้งหมด</x:v>
      </x:c>
    </x:row>
  </x:sheetData>
  <x:mergeCells>
    <x:mergeCell ref="A1:H2"/>
    <x:mergeCell ref="A4:H4"/>
    <x:mergeCell ref="A15:H15"/>
    <x:mergeCell ref="A17:H17"/>
    <x:mergeCell ref="A18:H18"/>
    <x:mergeCell ref="A19:H19"/>
    <x:mergeCell ref="A20:H20"/>
    <x:mergeCell ref="A21:H21"/>
    <x:mergeCell ref="A22:H22"/>
    <x:mergeCell ref="A23:H23"/>
    <x:mergeCell ref="A24:H24"/>
    <x:mergeCell ref="A27:H27"/>
  </x:mergeCells>
  <x:pageMargins left="0.7" right="0.7" top="0.75" bottom="0.75" header="0.3" footer="0.3"/>
</x:worksheet>
</file>