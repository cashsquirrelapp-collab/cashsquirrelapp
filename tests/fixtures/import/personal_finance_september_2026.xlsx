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สรุปการส่งออก" sheetId="1" r:id="rId5"/>
    <sheet name="Dashboard" sheetId="2" r:id="rId6"/>
    <sheet name="Transactions" sheetId="3" r:id="rId7"/>
    <sheet name="Projects" sheetId="4" r:id="rId8"/>
    <sheet name="Invoices" sheetId="5" r:id="rId9"/>
    <sheet name="Read Me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<sst xmlns="http://schemas.openxmlformats.org/spreadsheetml/2006/main" uniqueCount="172">
  <si>
    <t>เอกสารนี้ได้ส่งออกจาก Numbers ตารางแต่ละตารางได้แปลงเป็นแผ่นงานแบบ Excel วัตถุอื่นทั้งหมดของแผ่นงานแบบ Numbers แต่ละแผ่นได้แยกออกจากกันเป็นแผ่น โปรดทราบว่าการคำนวณของสูตรอาจแตกต่างจาก Excel</t>
  </si>
  <si>
    <t>ชื่อแผ่นงาน Numbers</t>
  </si>
  <si>
    <t>ชื่อตาราง Numbers</t>
  </si>
  <si>
    <t>ชื่อแผ่นงาน Excel</t>
  </si>
  <si>
    <t>Dashboard</t>
  </si>
  <si>
    <t>ตาราง 1</t>
  </si>
  <si>
    <t>PERSONAL FINANCE  |  SEPTEMBER 2026</t>
  </si>
  <si>
    <t>Profile</t>
  </si>
  <si>
    <t>Alex Morgan</t>
  </si>
  <si>
    <t>METRIC</t>
  </si>
  <si>
    <t>Period</t>
  </si>
  <si>
    <t>Sep 1–30, 2026</t>
  </si>
  <si>
    <t>Cash income</t>
  </si>
  <si>
    <t>Currency</t>
  </si>
  <si>
    <t>THB</t>
  </si>
  <si>
    <t>Business expenses</t>
  </si>
  <si>
    <t>Business model</t>
  </si>
  <si>
    <t>Independent creative freelancer</t>
  </si>
  <si>
    <t>Personal expenses</t>
  </si>
  <si>
    <t>Data status</t>
  </si>
  <si>
    <t>100% fictional / sample</t>
  </si>
  <si>
    <t>Operating surplus</t>
  </si>
  <si>
    <t>Accounting basis</t>
  </si>
  <si>
    <t>Cash basis; transfers excluded from profit</t>
  </si>
  <si>
    <t>Savings &amp; tax transfers</t>
  </si>
  <si>
    <t>Net cash movement</t>
  </si>
  <si>
    <t>Outstanding invoices</t>
  </si>
  <si>
    <t>Expense Category</t>
  </si>
  <si>
    <t>Amount (THB)</t>
  </si>
  <si>
    <t>Income Source</t>
  </si>
  <si>
    <t>Received (THB)</t>
  </si>
  <si>
    <t>Housing</t>
  </si>
  <si>
    <t>Brand Identity — Nova</t>
  </si>
  <si>
    <t>Food</t>
  </si>
  <si>
    <t>Website — Aster</t>
  </si>
  <si>
    <t>Transport</t>
  </si>
  <si>
    <t>Video Campaign — Orbit</t>
  </si>
  <si>
    <t>Business</t>
  </si>
  <si>
    <t>Social Media — Bloom</t>
  </si>
  <si>
    <t>Subscriptions</t>
  </si>
  <si>
    <t>UX Audit — Meridian</t>
  </si>
  <si>
    <t>Personal</t>
  </si>
  <si>
    <t>Other</t>
  </si>
  <si>
    <t>Health</t>
  </si>
  <si>
    <t>Shopping</t>
  </si>
  <si>
    <t>Entertainment</t>
  </si>
  <si>
    <t>Transactions</t>
  </si>
  <si>
    <t>Transaction ID</t>
  </si>
  <si>
    <t>Date</t>
  </si>
  <si>
    <t>Type</t>
  </si>
  <si>
    <t>Category</t>
  </si>
  <si>
    <t>Description</t>
  </si>
  <si>
    <t>Project / Area</t>
  </si>
  <si>
    <t>Payment Method</t>
  </si>
  <si>
    <t>Account</t>
  </si>
  <si>
    <t>Status</t>
  </si>
  <si>
    <t>Cash Flow (THB)</t>
  </si>
  <si>
    <t>TX-0007</t>
  </si>
  <si>
    <t>Expense</t>
  </si>
  <si>
    <t>Rent</t>
  </si>
  <si>
    <t>Bank Transfer</t>
  </si>
  <si>
    <t>Operating</t>
  </si>
  <si>
    <t>Completed</t>
  </si>
  <si>
    <t>TX-0009</t>
  </si>
  <si>
    <t>Groceries</t>
  </si>
  <si>
    <t>TX-0008</t>
  </si>
  <si>
    <t>Electricity &amp; water</t>
  </si>
  <si>
    <t>TX-0011</t>
  </si>
  <si>
    <t>Metro pass</t>
  </si>
  <si>
    <t>TX-0010</t>
  </si>
  <si>
    <t>Lunch &amp; coffee</t>
  </si>
  <si>
    <t>Card</t>
  </si>
  <si>
    <t>TX-0001</t>
  </si>
  <si>
    <t>Income</t>
  </si>
  <si>
    <t>Client payment</t>
  </si>
  <si>
    <t>TX-0012</t>
  </si>
  <si>
    <t>Stock footage</t>
  </si>
  <si>
    <t>TX-0013</t>
  </si>
  <si>
    <t>Fonts &amp; assets</t>
  </si>
  <si>
    <t>TX-0014</t>
  </si>
  <si>
    <t>Cloud hosting</t>
  </si>
  <si>
    <t>TX-0015</t>
  </si>
  <si>
    <t>Adobe Creative Cloud</t>
  </si>
  <si>
    <t>TX-0002</t>
  </si>
  <si>
    <t>TX-0016</t>
  </si>
  <si>
    <t>Freelance designer</t>
  </si>
  <si>
    <t>TX-0017</t>
  </si>
  <si>
    <t>TX-0018</t>
  </si>
  <si>
    <t>Gym</t>
  </si>
  <si>
    <t>TX-0003</t>
  </si>
  <si>
    <t>TX-0019</t>
  </si>
  <si>
    <t>Video editor subcontractor</t>
  </si>
  <si>
    <t>TX-0020</t>
  </si>
  <si>
    <t>Taxi client meeting</t>
  </si>
  <si>
    <t>TX-0021</t>
  </si>
  <si>
    <t>Restaurants</t>
  </si>
  <si>
    <t>TX-0022</t>
  </si>
  <si>
    <t>Ad mockups</t>
  </si>
  <si>
    <t>TX-0004</t>
  </si>
  <si>
    <t>TX-0023</t>
  </si>
  <si>
    <t>Internet &amp; mobile</t>
  </si>
  <si>
    <t>TX-0024</t>
  </si>
  <si>
    <t>Pharmacy</t>
  </si>
  <si>
    <t>TX-0025</t>
  </si>
  <si>
    <t>Clothes</t>
  </si>
  <si>
    <t>TX-0026</t>
  </si>
  <si>
    <t>UX research incentives</t>
  </si>
  <si>
    <t>TX-0027</t>
  </si>
  <si>
    <t>TX-0028</t>
  </si>
  <si>
    <t>Domain renewal</t>
  </si>
  <si>
    <t>TX-0029</t>
  </si>
  <si>
    <t>Ride share</t>
  </si>
  <si>
    <t>TX-0030</t>
  </si>
  <si>
    <t>Transfer</t>
  </si>
  <si>
    <t>Savings</t>
  </si>
  <si>
    <t>Emergency fund transfer</t>
  </si>
  <si>
    <t>Savings / Tax</t>
  </si>
  <si>
    <t>TX-0005</t>
  </si>
  <si>
    <t>TX-0031</t>
  </si>
  <si>
    <t>Dining out</t>
  </si>
  <si>
    <t>TX-0032</t>
  </si>
  <si>
    <t>Printing &amp; client materials</t>
  </si>
  <si>
    <t>TX-0033</t>
  </si>
  <si>
    <t>Cinema</t>
  </si>
  <si>
    <t>TX-0006</t>
  </si>
  <si>
    <t>Other income</t>
  </si>
  <si>
    <t>Referral bonus</t>
  </si>
  <si>
    <t>TX-0034</t>
  </si>
  <si>
    <t>TX-0035</t>
  </si>
  <si>
    <t>Tax</t>
  </si>
  <si>
    <t>Estimated income tax transfer</t>
  </si>
  <si>
    <t>Projects</t>
  </si>
  <si>
    <t>Project</t>
  </si>
  <si>
    <t>Client</t>
  </si>
  <si>
    <t>Contract Value</t>
  </si>
  <si>
    <t>Cash Received</t>
  </si>
  <si>
    <t>Direct Costs</t>
  </si>
  <si>
    <t>Cash Profit</t>
  </si>
  <si>
    <t>Nova Studio</t>
  </si>
  <si>
    <t>Aster Labs</t>
  </si>
  <si>
    <t>Orbit Media</t>
  </si>
  <si>
    <t>Bloom Co.</t>
  </si>
  <si>
    <t>Meridian Co.</t>
  </si>
  <si>
    <t>TOTAL</t>
  </si>
  <si>
    <t>Invoices</t>
  </si>
  <si>
    <t>Invoice</t>
  </si>
  <si>
    <t>Issued</t>
  </si>
  <si>
    <t>Due Date</t>
  </si>
  <si>
    <t>Amount</t>
  </si>
  <si>
    <t>Notes</t>
  </si>
  <si>
    <t>INV-2609-001</t>
  </si>
  <si>
    <t>Unpaid</t>
  </si>
  <si>
    <t>Final milestone</t>
  </si>
  <si>
    <t>INV-2609-002</t>
  </si>
  <si>
    <t>Remaining phase 2</t>
  </si>
  <si>
    <t>INV-2609-003</t>
  </si>
  <si>
    <t>Final cut</t>
  </si>
  <si>
    <t>INV-2609-004</t>
  </si>
  <si>
    <t>September balance</t>
  </si>
  <si>
    <t>INV-2609-005</t>
  </si>
  <si>
    <t>Awaiting kickoff payment</t>
  </si>
  <si>
    <t>TOTAL UNPAID</t>
  </si>
  <si>
    <t>Read Me</t>
  </si>
  <si>
    <t>SAMPLE PERSONAL FINANCE WORKBOOK</t>
  </si>
  <si>
    <t>Owner</t>
  </si>
  <si>
    <t>Alex Morgan (fictional)</t>
  </si>
  <si>
    <t>September 2026</t>
  </si>
  <si>
    <t>Thai baht (THB)</t>
  </si>
  <si>
    <t>Positive amounts; Type controls cash-flow sign. Savings and tax transfers are not expenses.</t>
  </si>
  <si>
    <t>Income less business + personal expenses is operating surplus; net cash movement also deducts transfers.</t>
  </si>
  <si>
    <t>Cash received and direct expense by project; other overhead excluded from project cash profit.</t>
  </si>
  <si>
    <t>Unpaid balances are not included in cash income. All sample records are fabricated.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</si>
</sst>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;(#,##0.00)"/>
    <numFmt numFmtId="60" formatCode="dd mmm yyyy"/>
  </numFmts>
  <fonts count="8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Helvetica Neue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1"/>
      <color indexed="12"/>
      <name val="Carlito"/>
    </font>
    <font>
      <b val="1"/>
      <sz val="11"/>
      <color indexed="8"/>
      <name val="Carlito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1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 style="thin">
        <color indexed="14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0" fontId="6" fillId="4" borderId="2" applyNumberFormat="0" applyFont="1" applyFill="1" applyBorder="1" applyAlignment="1" applyProtection="0">
      <alignment vertical="bottom"/>
    </xf>
    <xf numFmtId="0" fontId="6" fillId="4" borderId="3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5" borderId="8" applyNumberFormat="1" applyFont="1" applyFill="1" applyBorder="1" applyAlignment="1" applyProtection="0">
      <alignment vertical="bottom"/>
    </xf>
    <xf numFmtId="0" fontId="6" fillId="5" borderId="8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59" fontId="0" borderId="10" applyNumberFormat="1" applyFont="1" applyFill="0" applyBorder="1" applyAlignment="1" applyProtection="0">
      <alignment vertical="bottom"/>
    </xf>
    <xf numFmtId="49" fontId="0" fillId="6" borderId="8" applyNumberFormat="1" applyFont="1" applyFill="1" applyBorder="1" applyAlignment="1" applyProtection="0">
      <alignment vertical="bottom"/>
    </xf>
    <xf numFmtId="59" fontId="0" fillId="6" borderId="8" applyNumberFormat="1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6" fillId="4" borderId="11" applyNumberFormat="1" applyFont="1" applyFill="1" applyBorder="1" applyAlignment="1" applyProtection="0">
      <alignment vertical="bottom"/>
    </xf>
    <xf numFmtId="49" fontId="6" fillId="4" borderId="8" applyNumberFormat="1" applyFont="1" applyFill="1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4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2" applyNumberFormat="1" applyFont="1" applyFill="1" applyBorder="1" applyAlignment="1" applyProtection="0">
      <alignment vertical="bottom"/>
    </xf>
    <xf numFmtId="49" fontId="6" fillId="4" borderId="3" applyNumberFormat="1" applyFont="1" applyFill="1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60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6" borderId="11" applyNumberFormat="1" applyFont="1" applyFill="1" applyBorder="1" applyAlignment="1" applyProtection="0">
      <alignment vertical="bottom"/>
    </xf>
    <xf numFmtId="0" fontId="7" fillId="6" borderId="8" applyNumberFormat="0" applyFont="1" applyFill="1" applyBorder="1" applyAlignment="1" applyProtection="0">
      <alignment vertical="bottom"/>
    </xf>
    <xf numFmtId="59" fontId="7" fillId="6" borderId="8" applyNumberFormat="1" applyFont="1" applyFill="1" applyBorder="1" applyAlignment="1" applyProtection="0">
      <alignment vertical="bottom"/>
    </xf>
    <xf numFmtId="59" fontId="7" fillId="6" borderId="1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0" fontId="0" borderId="10" applyNumberFormat="1" applyFont="1" applyFill="0" applyBorder="1" applyAlignment="1" applyProtection="0">
      <alignment vertical="bottom"/>
    </xf>
    <xf numFmtId="4" fontId="0" borderId="10" applyNumberFormat="1" applyFont="1" applyFill="0" applyBorder="1" applyAlignment="1" applyProtection="0">
      <alignment vertical="bottom"/>
    </xf>
    <xf numFmtId="49" fontId="7" fillId="6" borderId="8" applyNumberFormat="1" applyFont="1" applyFill="1" applyBorder="1" applyAlignment="1" applyProtection="0">
      <alignment vertical="bottom"/>
    </xf>
    <xf numFmtId="4" fontId="7" fillId="6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7253b"/>
      <rgbColor rgb="ffaaaaaa"/>
      <rgbColor rgb="ff087f8c"/>
      <rgbColor rgb="ffff0000"/>
      <rgbColor rgb="ffe8f3f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46</v>
      </c>
      <c r="C11" s="3"/>
      <c r="D11" s="3"/>
    </row>
    <row r="12">
      <c r="B12" s="4"/>
      <c r="C12" t="s" s="4">
        <v>5</v>
      </c>
      <c r="D12" t="s" s="5">
        <v>46</v>
      </c>
    </row>
    <row r="13">
      <c r="B13" t="s" s="3">
        <v>131</v>
      </c>
      <c r="C13" s="3"/>
      <c r="D13" s="3"/>
    </row>
    <row r="14">
      <c r="B14" s="4"/>
      <c r="C14" t="s" s="4">
        <v>5</v>
      </c>
      <c r="D14" t="s" s="5">
        <v>131</v>
      </c>
    </row>
    <row r="15">
      <c r="B15" t="s" s="3">
        <v>144</v>
      </c>
      <c r="C15" s="3"/>
      <c r="D15" s="3"/>
    </row>
    <row r="16">
      <c r="B16" s="4"/>
      <c r="C16" t="s" s="4">
        <v>5</v>
      </c>
      <c r="D16" t="s" s="5">
        <v>144</v>
      </c>
    </row>
    <row r="17">
      <c r="B17" t="s" s="3">
        <v>162</v>
      </c>
      <c r="C17" s="3"/>
      <c r="D17" s="3"/>
    </row>
    <row r="18">
      <c r="B18" s="4"/>
      <c r="C18" t="s" s="4">
        <v>5</v>
      </c>
      <c r="D18" t="s" s="5">
        <v>162</v>
      </c>
    </row>
  </sheetData>
  <mergeCells count="1">
    <mergeCell ref="B3:D3"/>
  </mergeCells>
  <hyperlinks>
    <hyperlink ref="D10" location="'Dashboard'!R1C1" tooltip="" display="Dashboard"/>
    <hyperlink ref="D12" location="'Transactions'!R1C1" tooltip="" display="Transactions"/>
    <hyperlink ref="D14" location="'Projects'!R1C1" tooltip="" display="Projects"/>
    <hyperlink ref="D16" location="'Invoices'!R1C1" tooltip="" display="Invoices"/>
    <hyperlink ref="D18" location="'Read Me'!R1C1" tooltip="" display="Read Me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H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" customWidth="1"/>
    <col min="2" max="3" width="33" style="6" customWidth="1"/>
    <col min="4" max="4" width="27" style="6" customWidth="1"/>
    <col min="5" max="5" width="23" style="6" customWidth="1"/>
    <col min="6" max="8" width="14" style="6" customWidth="1"/>
    <col min="9" max="16384" width="8.85156" style="6" customWidth="1"/>
  </cols>
  <sheetData>
    <row r="1" ht="38" customHeight="1">
      <c r="A1" t="s" s="7">
        <v>6</v>
      </c>
      <c r="B1" s="8"/>
      <c r="C1" s="8"/>
      <c r="D1" s="8"/>
      <c r="E1" s="8"/>
      <c r="F1" s="8"/>
      <c r="G1" s="8"/>
      <c r="H1" s="9"/>
    </row>
    <row r="2" ht="15" customHeight="1">
      <c r="A2" s="10"/>
      <c r="B2" s="10"/>
      <c r="C2" s="10"/>
      <c r="D2" s="11"/>
      <c r="E2" s="11"/>
      <c r="F2" s="10"/>
      <c r="G2" s="10"/>
      <c r="H2" s="10"/>
    </row>
    <row r="3" ht="15" customHeight="1">
      <c r="A3" t="s" s="12">
        <v>7</v>
      </c>
      <c r="B3" t="s" s="12">
        <v>8</v>
      </c>
      <c r="C3" s="13"/>
      <c r="D3" t="s" s="14">
        <v>9</v>
      </c>
      <c r="E3" s="15"/>
      <c r="F3" s="16"/>
      <c r="G3" s="17"/>
      <c r="H3" s="17"/>
    </row>
    <row r="4" ht="27" customHeight="1">
      <c r="A4" t="s" s="12">
        <v>10</v>
      </c>
      <c r="B4" t="s" s="12">
        <v>11</v>
      </c>
      <c r="C4" s="17"/>
      <c r="D4" t="s" s="18">
        <v>12</v>
      </c>
      <c r="E4" s="19" cm="1">
        <f t="array" ref="E4">SUMIF('Transactions'!C2:C100,"Income",'Transactions'!I2:I100)</f>
        <v>137300</v>
      </c>
      <c r="F4" s="17"/>
      <c r="G4" s="17"/>
      <c r="H4" s="17"/>
    </row>
    <row r="5" ht="27" customHeight="1">
      <c r="A5" t="s" s="12">
        <v>13</v>
      </c>
      <c r="B5" t="s" s="12">
        <v>14</v>
      </c>
      <c r="C5" s="17"/>
      <c r="D5" t="s" s="12">
        <v>15</v>
      </c>
      <c r="E5" s="20" cm="1">
        <f t="array" ref="E5">_xlfn.SUMIFS('Transactions'!I2:I100,'Transactions'!C2:C100,"Expense",'Transactions'!F2:F100,"&lt;&gt;Personal")</f>
        <v>25540</v>
      </c>
      <c r="F5" s="17"/>
      <c r="G5" s="17"/>
      <c r="H5" s="17"/>
    </row>
    <row r="6" ht="27" customHeight="1">
      <c r="A6" t="s" s="12">
        <v>16</v>
      </c>
      <c r="B6" t="s" s="12">
        <v>17</v>
      </c>
      <c r="C6" s="17"/>
      <c r="D6" t="s" s="21">
        <v>18</v>
      </c>
      <c r="E6" s="22" cm="1">
        <f t="array" ref="E6">_xlfn.SUMIFS('Transactions'!I2:I100,'Transactions'!C2:C100,"Expense",'Transactions'!F2:F100,"Personal")</f>
        <v>37900</v>
      </c>
      <c r="F6" s="17"/>
      <c r="G6" s="17"/>
      <c r="H6" s="17"/>
    </row>
    <row r="7" ht="27" customHeight="1">
      <c r="A7" t="s" s="12">
        <v>19</v>
      </c>
      <c r="B7" t="s" s="12">
        <v>20</v>
      </c>
      <c r="C7" s="13"/>
      <c r="D7" t="s" s="23">
        <v>21</v>
      </c>
      <c r="E7" s="24" cm="1">
        <f t="array" ref="E7">E4-E5-E6</f>
        <v>73860</v>
      </c>
      <c r="F7" s="16"/>
      <c r="G7" s="17"/>
      <c r="H7" s="17"/>
    </row>
    <row r="8" ht="27" customHeight="1">
      <c r="A8" t="s" s="12">
        <v>22</v>
      </c>
      <c r="B8" t="s" s="12">
        <v>23</v>
      </c>
      <c r="C8" s="17"/>
      <c r="D8" t="s" s="25">
        <v>24</v>
      </c>
      <c r="E8" s="26" cm="1">
        <f t="array" ref="E8">SUMIF('Transactions'!C2:C100,"Transfer",'Transactions'!I2:I100)</f>
        <v>14000</v>
      </c>
      <c r="F8" s="17"/>
      <c r="G8" s="17"/>
      <c r="H8" s="17"/>
    </row>
    <row r="9" ht="27" customHeight="1">
      <c r="A9" s="17"/>
      <c r="B9" s="17"/>
      <c r="C9" s="13"/>
      <c r="D9" t="s" s="23">
        <v>25</v>
      </c>
      <c r="E9" s="24" cm="1">
        <f t="array" ref="E9">E7-E8</f>
        <v>59860</v>
      </c>
      <c r="F9" s="16"/>
      <c r="G9" s="17"/>
      <c r="H9" s="17"/>
    </row>
    <row r="10" ht="27" customHeight="1">
      <c r="A10" s="17"/>
      <c r="B10" s="17"/>
      <c r="C10" s="17"/>
      <c r="D10" t="s" s="18">
        <v>26</v>
      </c>
      <c r="E10" s="19" cm="1">
        <f t="array" ref="E10">'Invoices'!F7</f>
        <v>62000</v>
      </c>
      <c r="F10" s="17"/>
      <c r="G10" s="17"/>
      <c r="H10" s="17"/>
    </row>
    <row r="11" ht="15" customHeight="1">
      <c r="A11" s="27"/>
      <c r="B11" s="27"/>
      <c r="C11" s="27"/>
      <c r="D11" s="27"/>
      <c r="E11" s="17"/>
      <c r="F11" s="17"/>
      <c r="G11" s="17"/>
      <c r="H11" s="17"/>
    </row>
    <row r="12" ht="30" customHeight="1">
      <c r="A12" t="s" s="28">
        <v>27</v>
      </c>
      <c r="B12" t="s" s="29">
        <v>28</v>
      </c>
      <c r="C12" t="s" s="29">
        <v>29</v>
      </c>
      <c r="D12" t="s" s="29">
        <v>30</v>
      </c>
      <c r="E12" s="16"/>
      <c r="F12" s="17"/>
      <c r="G12" s="17"/>
      <c r="H12" s="17"/>
    </row>
    <row r="13" ht="15" customHeight="1">
      <c r="A13" t="s" s="18">
        <v>31</v>
      </c>
      <c r="B13" s="30" cm="1">
        <f t="array" ref="B13">_xlfn.SUMIFS('Transactions'!I2:I100,'Transactions'!D2:D100,A13,'Transactions'!C2:C100,"Expense")</f>
        <v>16320</v>
      </c>
      <c r="C13" t="s" s="18">
        <v>32</v>
      </c>
      <c r="D13" s="30" cm="1">
        <f t="array" ref="D13">_xlfn.SUMIFS('Transactions'!I2:I100,'Transactions'!F2:F100,C13,'Transactions'!C2:C100,"Income")</f>
        <v>28500</v>
      </c>
      <c r="E13" s="17"/>
      <c r="F13" s="17"/>
      <c r="G13" s="17"/>
      <c r="H13" s="17"/>
    </row>
    <row r="14" ht="15" customHeight="1">
      <c r="A14" t="s" s="12">
        <v>33</v>
      </c>
      <c r="B14" s="31" cm="1">
        <f t="array" ref="B14">_xlfn.SUMIFS('Transactions'!I2:I100,'Transactions'!D2:D100,A14,'Transactions'!C2:C100,"Expense")</f>
        <v>12530</v>
      </c>
      <c r="C14" t="s" s="12">
        <v>34</v>
      </c>
      <c r="D14" s="31" cm="1">
        <f t="array" ref="D14">_xlfn.SUMIFS('Transactions'!I2:I100,'Transactions'!F2:F100,C14,'Transactions'!C2:C100,"Income")</f>
        <v>56000</v>
      </c>
      <c r="E14" s="17"/>
      <c r="F14" s="17"/>
      <c r="G14" s="17"/>
      <c r="H14" s="17"/>
    </row>
    <row r="15" ht="15" customHeight="1">
      <c r="A15" t="s" s="12">
        <v>35</v>
      </c>
      <c r="B15" s="31" cm="1">
        <f t="array" ref="B15">_xlfn.SUMIFS('Transactions'!I2:I100,'Transactions'!D2:D100,A15,'Transactions'!C2:C100,"Expense")</f>
        <v>2600</v>
      </c>
      <c r="C15" t="s" s="12">
        <v>36</v>
      </c>
      <c r="D15" s="31" cm="1">
        <f t="array" ref="D15">_xlfn.SUMIFS('Transactions'!I2:I100,'Transactions'!F2:F100,C15,'Transactions'!C2:C100,"Income")</f>
        <v>32500</v>
      </c>
      <c r="E15" s="17"/>
      <c r="F15" s="17"/>
      <c r="G15" s="17"/>
      <c r="H15" s="17"/>
    </row>
    <row r="16" ht="15" customHeight="1">
      <c r="A16" t="s" s="12">
        <v>37</v>
      </c>
      <c r="B16" s="31" cm="1">
        <f t="array" ref="B16">_xlfn.SUMIFS('Transactions'!I2:I100,'Transactions'!D2:D100,A16,'Transactions'!C2:C100,"Expense")</f>
        <v>24920</v>
      </c>
      <c r="C16" t="s" s="12">
        <v>38</v>
      </c>
      <c r="D16" s="31" cm="1">
        <f t="array" ref="D16">_xlfn.SUMIFS('Transactions'!I2:I100,'Transactions'!F2:F100,C16,'Transactions'!C2:C100,"Income")</f>
        <v>18000</v>
      </c>
      <c r="E16" s="17"/>
      <c r="F16" s="17"/>
      <c r="G16" s="17"/>
      <c r="H16" s="17"/>
    </row>
    <row r="17" ht="15" customHeight="1">
      <c r="A17" t="s" s="12">
        <v>39</v>
      </c>
      <c r="B17" s="31" cm="1">
        <f t="array" ref="B17">_xlfn.SUMIFS('Transactions'!I2:I100,'Transactions'!D2:D100,A17,'Transactions'!C2:C100,"Expense")</f>
        <v>3340</v>
      </c>
      <c r="C17" t="s" s="12">
        <v>40</v>
      </c>
      <c r="D17" s="31" cm="1">
        <f t="array" ref="D17">_xlfn.SUMIFS('Transactions'!I2:I100,'Transactions'!F2:F100,C17,'Transactions'!C2:C100,"Income")</f>
        <v>0</v>
      </c>
      <c r="E17" s="17"/>
      <c r="F17" s="17"/>
      <c r="G17" s="17"/>
      <c r="H17" s="17"/>
    </row>
    <row r="18" ht="15" customHeight="1">
      <c r="A18" t="s" s="12">
        <v>41</v>
      </c>
      <c r="B18" s="31" cm="1">
        <f t="array" ref="B18">_xlfn.SUMIFS('Transactions'!I2:I100,'Transactions'!D2:D100,A18,'Transactions'!C2:C100,"Expense")</f>
        <v>950</v>
      </c>
      <c r="C18" t="s" s="12">
        <v>42</v>
      </c>
      <c r="D18" s="31" cm="1">
        <f t="array" ref="D18">_xlfn.SUMIFS('Transactions'!I2:I100,'Transactions'!F2:F100,C18,'Transactions'!C2:C100,"Income")</f>
        <v>2300</v>
      </c>
      <c r="E18" s="17"/>
      <c r="F18" s="17"/>
      <c r="G18" s="17"/>
      <c r="H18" s="17"/>
    </row>
    <row r="19" ht="15" customHeight="1">
      <c r="A19" t="s" s="12">
        <v>43</v>
      </c>
      <c r="B19" s="31" cm="1">
        <f t="array" ref="B19">_xlfn.SUMIFS('Transactions'!I2:I100,'Transactions'!D2:D100,A19,'Transactions'!C2:C100,"Expense")</f>
        <v>470</v>
      </c>
      <c r="C19" s="17"/>
      <c r="D19" s="17"/>
      <c r="E19" s="17"/>
      <c r="F19" s="17"/>
      <c r="G19" s="17"/>
      <c r="H19" s="17"/>
    </row>
    <row r="20" ht="15" customHeight="1">
      <c r="A20" t="s" s="12">
        <v>44</v>
      </c>
      <c r="B20" s="31" cm="1">
        <f t="array" ref="B20">_xlfn.SUMIFS('Transactions'!I2:I100,'Transactions'!D2:D100,A20,'Transactions'!C2:C100,"Expense")</f>
        <v>1890</v>
      </c>
      <c r="C20" s="17"/>
      <c r="D20" s="17"/>
      <c r="E20" s="17"/>
      <c r="F20" s="17"/>
      <c r="G20" s="17"/>
      <c r="H20" s="17"/>
    </row>
    <row r="21" ht="15" customHeight="1">
      <c r="A21" t="s" s="12">
        <v>45</v>
      </c>
      <c r="B21" s="31" cm="1">
        <f t="array" ref="B21">_xlfn.SUMIFS('Transactions'!I2:I100,'Transactions'!D2:D100,A21,'Transactions'!C2:C100,"Expense")</f>
        <v>420</v>
      </c>
      <c r="C21" s="17"/>
      <c r="D21" s="17"/>
      <c r="E21" s="17"/>
      <c r="F21" s="17"/>
      <c r="G21" s="17"/>
      <c r="H21" s="17"/>
    </row>
  </sheetData>
  <mergeCells count="1">
    <mergeCell ref="A1:H1"/>
  </mergeCells>
  <conditionalFormatting sqref="E4:E10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100"/>
  <sheetViews>
    <sheetView workbookViewId="0" showGridLines="0" defaultGridColor="1"/>
  </sheetViews>
  <sheetFormatPr defaultColWidth="8.83333" defaultRowHeight="15" customHeight="1" outlineLevelRow="0" outlineLevelCol="0"/>
  <cols>
    <col min="1" max="1" width="17" style="32" customWidth="1"/>
    <col min="2" max="2" width="19" style="32" customWidth="1"/>
    <col min="3" max="3" width="16" style="32" customWidth="1"/>
    <col min="4" max="4" width="22" style="32" customWidth="1"/>
    <col min="5" max="5" width="34" style="32" customWidth="1"/>
    <col min="6" max="6" width="30" style="32" customWidth="1"/>
    <col min="7" max="7" width="20" style="32" customWidth="1"/>
    <col min="8" max="9" width="19" style="32" customWidth="1"/>
    <col min="10" max="10" width="17" style="32" customWidth="1"/>
    <col min="11" max="11" width="20" style="32" customWidth="1"/>
    <col min="12" max="16384" width="8.85156" style="32" customWidth="1"/>
  </cols>
  <sheetData>
    <row r="1" ht="30" customHeight="1">
      <c r="A1" t="s" s="7">
        <v>47</v>
      </c>
      <c r="B1" t="s" s="33">
        <v>48</v>
      </c>
      <c r="C1" t="s" s="33">
        <v>49</v>
      </c>
      <c r="D1" t="s" s="33">
        <v>50</v>
      </c>
      <c r="E1" t="s" s="33">
        <v>51</v>
      </c>
      <c r="F1" t="s" s="33">
        <v>52</v>
      </c>
      <c r="G1" t="s" s="33">
        <v>53</v>
      </c>
      <c r="H1" t="s" s="33">
        <v>54</v>
      </c>
      <c r="I1" t="s" s="33">
        <v>28</v>
      </c>
      <c r="J1" t="s" s="33">
        <v>55</v>
      </c>
      <c r="K1" t="s" s="34">
        <v>56</v>
      </c>
    </row>
    <row r="2" ht="15" customHeight="1">
      <c r="A2" t="s" s="18">
        <v>57</v>
      </c>
      <c r="B2" s="35">
        <v>46266</v>
      </c>
      <c r="C2" t="s" s="18">
        <v>58</v>
      </c>
      <c r="D2" t="s" s="18">
        <v>31</v>
      </c>
      <c r="E2" t="s" s="18">
        <v>59</v>
      </c>
      <c r="F2" t="s" s="18">
        <v>41</v>
      </c>
      <c r="G2" t="s" s="18">
        <v>60</v>
      </c>
      <c r="H2" t="s" s="18">
        <v>61</v>
      </c>
      <c r="I2" s="19">
        <v>14500</v>
      </c>
      <c r="J2" t="s" s="18">
        <v>62</v>
      </c>
      <c r="K2" s="19" cm="1">
        <f t="array" ref="K2">IF(C2="Income",I2,-I2)</f>
        <v>-14500</v>
      </c>
    </row>
    <row r="3" ht="15" customHeight="1">
      <c r="A3" t="s" s="12">
        <v>63</v>
      </c>
      <c r="B3" s="36">
        <v>46267</v>
      </c>
      <c r="C3" t="s" s="12">
        <v>58</v>
      </c>
      <c r="D3" t="s" s="12">
        <v>33</v>
      </c>
      <c r="E3" t="s" s="12">
        <v>64</v>
      </c>
      <c r="F3" t="s" s="12">
        <v>41</v>
      </c>
      <c r="G3" t="s" s="12">
        <v>60</v>
      </c>
      <c r="H3" t="s" s="12">
        <v>61</v>
      </c>
      <c r="I3" s="20">
        <v>2850</v>
      </c>
      <c r="J3" t="s" s="12">
        <v>62</v>
      </c>
      <c r="K3" s="20" cm="1">
        <f t="array" ref="K3">IF(C3="Income",I3,-I3)</f>
        <v>-2850</v>
      </c>
    </row>
    <row r="4" ht="15" customHeight="1">
      <c r="A4" t="s" s="12">
        <v>65</v>
      </c>
      <c r="B4" s="36">
        <v>46268</v>
      </c>
      <c r="C4" t="s" s="12">
        <v>58</v>
      </c>
      <c r="D4" t="s" s="12">
        <v>31</v>
      </c>
      <c r="E4" t="s" s="12">
        <v>66</v>
      </c>
      <c r="F4" t="s" s="12">
        <v>41</v>
      </c>
      <c r="G4" t="s" s="12">
        <v>60</v>
      </c>
      <c r="H4" t="s" s="12">
        <v>61</v>
      </c>
      <c r="I4" s="20">
        <v>1820</v>
      </c>
      <c r="J4" t="s" s="12">
        <v>62</v>
      </c>
      <c r="K4" s="20" cm="1">
        <f t="array" ref="K4">IF(C4="Income",I4,-I4)</f>
        <v>-1820</v>
      </c>
    </row>
    <row r="5" ht="15" customHeight="1">
      <c r="A5" t="s" s="12">
        <v>67</v>
      </c>
      <c r="B5" s="36">
        <v>46268</v>
      </c>
      <c r="C5" t="s" s="12">
        <v>58</v>
      </c>
      <c r="D5" t="s" s="12">
        <v>35</v>
      </c>
      <c r="E5" t="s" s="12">
        <v>68</v>
      </c>
      <c r="F5" t="s" s="12">
        <v>41</v>
      </c>
      <c r="G5" t="s" s="12">
        <v>60</v>
      </c>
      <c r="H5" t="s" s="12">
        <v>61</v>
      </c>
      <c r="I5" s="20">
        <v>1450</v>
      </c>
      <c r="J5" t="s" s="12">
        <v>62</v>
      </c>
      <c r="K5" s="20" cm="1">
        <f t="array" ref="K5">IF(C5="Income",I5,-I5)</f>
        <v>-1450</v>
      </c>
    </row>
    <row r="6" ht="15" customHeight="1">
      <c r="A6" t="s" s="12">
        <v>69</v>
      </c>
      <c r="B6" s="36">
        <v>46269</v>
      </c>
      <c r="C6" t="s" s="12">
        <v>58</v>
      </c>
      <c r="D6" t="s" s="12">
        <v>33</v>
      </c>
      <c r="E6" t="s" s="12">
        <v>70</v>
      </c>
      <c r="F6" t="s" s="12">
        <v>41</v>
      </c>
      <c r="G6" t="s" s="12">
        <v>71</v>
      </c>
      <c r="H6" t="s" s="12">
        <v>61</v>
      </c>
      <c r="I6" s="20">
        <v>580</v>
      </c>
      <c r="J6" t="s" s="12">
        <v>62</v>
      </c>
      <c r="K6" s="20" cm="1">
        <f t="array" ref="K6">IF(C6="Income",I6,-I6)</f>
        <v>-580</v>
      </c>
    </row>
    <row r="7" ht="15" customHeight="1">
      <c r="A7" t="s" s="12">
        <v>72</v>
      </c>
      <c r="B7" s="36">
        <v>46270</v>
      </c>
      <c r="C7" t="s" s="12">
        <v>73</v>
      </c>
      <c r="D7" t="s" s="12">
        <v>74</v>
      </c>
      <c r="E7" t="s" s="12">
        <v>32</v>
      </c>
      <c r="F7" t="s" s="12">
        <v>32</v>
      </c>
      <c r="G7" t="s" s="12">
        <v>60</v>
      </c>
      <c r="H7" t="s" s="12">
        <v>61</v>
      </c>
      <c r="I7" s="20">
        <v>28500</v>
      </c>
      <c r="J7" t="s" s="12">
        <v>62</v>
      </c>
      <c r="K7" s="20" cm="1">
        <f t="array" ref="K7">IF(C7="Income",I7,-I7)</f>
        <v>28500</v>
      </c>
    </row>
    <row r="8" ht="15" customHeight="1">
      <c r="A8" t="s" s="12">
        <v>75</v>
      </c>
      <c r="B8" s="36">
        <v>46270</v>
      </c>
      <c r="C8" t="s" s="12">
        <v>58</v>
      </c>
      <c r="D8" t="s" s="12">
        <v>37</v>
      </c>
      <c r="E8" t="s" s="12">
        <v>76</v>
      </c>
      <c r="F8" t="s" s="12">
        <v>36</v>
      </c>
      <c r="G8" t="s" s="12">
        <v>60</v>
      </c>
      <c r="H8" t="s" s="12">
        <v>61</v>
      </c>
      <c r="I8" s="20">
        <v>1250</v>
      </c>
      <c r="J8" t="s" s="12">
        <v>62</v>
      </c>
      <c r="K8" s="20" cm="1">
        <f t="array" ref="K8">IF(C8="Income",I8,-I8)</f>
        <v>-1250</v>
      </c>
    </row>
    <row r="9" ht="15" customHeight="1">
      <c r="A9" t="s" s="12">
        <v>77</v>
      </c>
      <c r="B9" s="36">
        <v>46272</v>
      </c>
      <c r="C9" t="s" s="12">
        <v>58</v>
      </c>
      <c r="D9" t="s" s="12">
        <v>37</v>
      </c>
      <c r="E9" t="s" s="12">
        <v>78</v>
      </c>
      <c r="F9" t="s" s="12">
        <v>32</v>
      </c>
      <c r="G9" t="s" s="12">
        <v>71</v>
      </c>
      <c r="H9" t="s" s="12">
        <v>61</v>
      </c>
      <c r="I9" s="20">
        <v>890</v>
      </c>
      <c r="J9" t="s" s="12">
        <v>62</v>
      </c>
      <c r="K9" s="20" cm="1">
        <f t="array" ref="K9">IF(C9="Income",I9,-I9)</f>
        <v>-890</v>
      </c>
    </row>
    <row r="10" ht="15" customHeight="1">
      <c r="A10" t="s" s="12">
        <v>79</v>
      </c>
      <c r="B10" s="36">
        <v>46273</v>
      </c>
      <c r="C10" t="s" s="12">
        <v>58</v>
      </c>
      <c r="D10" t="s" s="12">
        <v>37</v>
      </c>
      <c r="E10" t="s" s="12">
        <v>80</v>
      </c>
      <c r="F10" t="s" s="12">
        <v>34</v>
      </c>
      <c r="G10" t="s" s="12">
        <v>60</v>
      </c>
      <c r="H10" t="s" s="12">
        <v>61</v>
      </c>
      <c r="I10" s="20">
        <v>1250</v>
      </c>
      <c r="J10" t="s" s="12">
        <v>62</v>
      </c>
      <c r="K10" s="20" cm="1">
        <f t="array" ref="K10">IF(C10="Income",I10,-I10)</f>
        <v>-1250</v>
      </c>
    </row>
    <row r="11" ht="15" customHeight="1">
      <c r="A11" t="s" s="12">
        <v>81</v>
      </c>
      <c r="B11" s="36">
        <v>46273</v>
      </c>
      <c r="C11" t="s" s="12">
        <v>58</v>
      </c>
      <c r="D11" t="s" s="12">
        <v>39</v>
      </c>
      <c r="E11" t="s" s="12">
        <v>82</v>
      </c>
      <c r="F11" t="s" s="12">
        <v>41</v>
      </c>
      <c r="G11" t="s" s="12">
        <v>60</v>
      </c>
      <c r="H11" t="s" s="12">
        <v>61</v>
      </c>
      <c r="I11" s="20">
        <v>2190</v>
      </c>
      <c r="J11" t="s" s="12">
        <v>62</v>
      </c>
      <c r="K11" s="20" cm="1">
        <f t="array" ref="K11">IF(C11="Income",I11,-I11)</f>
        <v>-2190</v>
      </c>
    </row>
    <row r="12" ht="15" customHeight="1">
      <c r="A12" t="s" s="12">
        <v>83</v>
      </c>
      <c r="B12" s="36">
        <v>46274</v>
      </c>
      <c r="C12" t="s" s="12">
        <v>73</v>
      </c>
      <c r="D12" t="s" s="12">
        <v>74</v>
      </c>
      <c r="E12" t="s" s="12">
        <v>34</v>
      </c>
      <c r="F12" t="s" s="12">
        <v>34</v>
      </c>
      <c r="G12" t="s" s="12">
        <v>60</v>
      </c>
      <c r="H12" t="s" s="12">
        <v>61</v>
      </c>
      <c r="I12" s="20">
        <v>42000</v>
      </c>
      <c r="J12" t="s" s="12">
        <v>62</v>
      </c>
      <c r="K12" s="20" cm="1">
        <f t="array" ref="K12">IF(C12="Income",I12,-I12)</f>
        <v>42000</v>
      </c>
    </row>
    <row r="13" ht="15" customHeight="1">
      <c r="A13" t="s" s="12">
        <v>84</v>
      </c>
      <c r="B13" s="36">
        <v>46275</v>
      </c>
      <c r="C13" t="s" s="12">
        <v>58</v>
      </c>
      <c r="D13" t="s" s="12">
        <v>37</v>
      </c>
      <c r="E13" t="s" s="12">
        <v>85</v>
      </c>
      <c r="F13" t="s" s="12">
        <v>34</v>
      </c>
      <c r="G13" t="s" s="12">
        <v>60</v>
      </c>
      <c r="H13" t="s" s="12">
        <v>61</v>
      </c>
      <c r="I13" s="20">
        <v>9200</v>
      </c>
      <c r="J13" t="s" s="12">
        <v>62</v>
      </c>
      <c r="K13" s="20" cm="1">
        <f t="array" ref="K13">IF(C13="Income",I13,-I13)</f>
        <v>-9200</v>
      </c>
    </row>
    <row r="14" ht="15" customHeight="1">
      <c r="A14" t="s" s="12">
        <v>86</v>
      </c>
      <c r="B14" s="36">
        <v>46276</v>
      </c>
      <c r="C14" t="s" s="12">
        <v>58</v>
      </c>
      <c r="D14" t="s" s="12">
        <v>33</v>
      </c>
      <c r="E14" t="s" s="12">
        <v>64</v>
      </c>
      <c r="F14" t="s" s="12">
        <v>41</v>
      </c>
      <c r="G14" t="s" s="12">
        <v>60</v>
      </c>
      <c r="H14" t="s" s="12">
        <v>61</v>
      </c>
      <c r="I14" s="20">
        <v>2100</v>
      </c>
      <c r="J14" t="s" s="12">
        <v>62</v>
      </c>
      <c r="K14" s="20" cm="1">
        <f t="array" ref="K14">IF(C14="Income",I14,-I14)</f>
        <v>-2100</v>
      </c>
    </row>
    <row r="15" ht="15" customHeight="1">
      <c r="A15" t="s" s="12">
        <v>87</v>
      </c>
      <c r="B15" s="36">
        <v>46277</v>
      </c>
      <c r="C15" t="s" s="12">
        <v>58</v>
      </c>
      <c r="D15" t="s" s="12">
        <v>41</v>
      </c>
      <c r="E15" t="s" s="12">
        <v>88</v>
      </c>
      <c r="F15" t="s" s="12">
        <v>41</v>
      </c>
      <c r="G15" t="s" s="12">
        <v>71</v>
      </c>
      <c r="H15" t="s" s="12">
        <v>61</v>
      </c>
      <c r="I15" s="20">
        <v>950</v>
      </c>
      <c r="J15" t="s" s="12">
        <v>62</v>
      </c>
      <c r="K15" s="20" cm="1">
        <f t="array" ref="K15">IF(C15="Income",I15,-I15)</f>
        <v>-950</v>
      </c>
    </row>
    <row r="16" ht="15" customHeight="1">
      <c r="A16" t="s" s="12">
        <v>89</v>
      </c>
      <c r="B16" s="36">
        <v>46278</v>
      </c>
      <c r="C16" t="s" s="12">
        <v>73</v>
      </c>
      <c r="D16" t="s" s="12">
        <v>74</v>
      </c>
      <c r="E16" t="s" s="12">
        <v>38</v>
      </c>
      <c r="F16" t="s" s="12">
        <v>38</v>
      </c>
      <c r="G16" t="s" s="12">
        <v>60</v>
      </c>
      <c r="H16" t="s" s="12">
        <v>61</v>
      </c>
      <c r="I16" s="20">
        <v>18000</v>
      </c>
      <c r="J16" t="s" s="12">
        <v>62</v>
      </c>
      <c r="K16" s="20" cm="1">
        <f t="array" ref="K16">IF(C16="Income",I16,-I16)</f>
        <v>18000</v>
      </c>
    </row>
    <row r="17" ht="15" customHeight="1">
      <c r="A17" t="s" s="12">
        <v>90</v>
      </c>
      <c r="B17" s="36">
        <v>46279</v>
      </c>
      <c r="C17" t="s" s="12">
        <v>58</v>
      </c>
      <c r="D17" t="s" s="12">
        <v>37</v>
      </c>
      <c r="E17" t="s" s="12">
        <v>91</v>
      </c>
      <c r="F17" t="s" s="12">
        <v>36</v>
      </c>
      <c r="G17" t="s" s="12">
        <v>60</v>
      </c>
      <c r="H17" t="s" s="12">
        <v>61</v>
      </c>
      <c r="I17" s="20">
        <v>6500</v>
      </c>
      <c r="J17" t="s" s="12">
        <v>62</v>
      </c>
      <c r="K17" s="20" cm="1">
        <f t="array" ref="K17">IF(C17="Income",I17,-I17)</f>
        <v>-6500</v>
      </c>
    </row>
    <row r="18" ht="15" customHeight="1">
      <c r="A18" t="s" s="12">
        <v>92</v>
      </c>
      <c r="B18" s="36">
        <v>46280</v>
      </c>
      <c r="C18" t="s" s="12">
        <v>58</v>
      </c>
      <c r="D18" t="s" s="12">
        <v>35</v>
      </c>
      <c r="E18" t="s" s="12">
        <v>93</v>
      </c>
      <c r="F18" t="s" s="12">
        <v>38</v>
      </c>
      <c r="G18" t="s" s="12">
        <v>71</v>
      </c>
      <c r="H18" t="s" s="12">
        <v>61</v>
      </c>
      <c r="I18" s="20">
        <v>620</v>
      </c>
      <c r="J18" t="s" s="12">
        <v>62</v>
      </c>
      <c r="K18" s="20" cm="1">
        <f t="array" ref="K18">IF(C18="Income",I18,-I18)</f>
        <v>-620</v>
      </c>
    </row>
    <row r="19" ht="15" customHeight="1">
      <c r="A19" t="s" s="12">
        <v>94</v>
      </c>
      <c r="B19" s="36">
        <v>46281</v>
      </c>
      <c r="C19" t="s" s="12">
        <v>58</v>
      </c>
      <c r="D19" t="s" s="12">
        <v>33</v>
      </c>
      <c r="E19" t="s" s="12">
        <v>95</v>
      </c>
      <c r="F19" t="s" s="12">
        <v>41</v>
      </c>
      <c r="G19" t="s" s="12">
        <v>60</v>
      </c>
      <c r="H19" t="s" s="12">
        <v>61</v>
      </c>
      <c r="I19" s="20">
        <v>1650</v>
      </c>
      <c r="J19" t="s" s="12">
        <v>62</v>
      </c>
      <c r="K19" s="20" cm="1">
        <f t="array" ref="K19">IF(C19="Income",I19,-I19)</f>
        <v>-1650</v>
      </c>
    </row>
    <row r="20" ht="15" customHeight="1">
      <c r="A20" t="s" s="12">
        <v>96</v>
      </c>
      <c r="B20" s="36">
        <v>46282</v>
      </c>
      <c r="C20" t="s" s="12">
        <v>58</v>
      </c>
      <c r="D20" t="s" s="12">
        <v>37</v>
      </c>
      <c r="E20" t="s" s="12">
        <v>97</v>
      </c>
      <c r="F20" t="s" s="12">
        <v>38</v>
      </c>
      <c r="G20" t="s" s="12">
        <v>60</v>
      </c>
      <c r="H20" t="s" s="12">
        <v>61</v>
      </c>
      <c r="I20" s="20">
        <v>1350</v>
      </c>
      <c r="J20" t="s" s="12">
        <v>62</v>
      </c>
      <c r="K20" s="20" cm="1">
        <f t="array" ref="K20">IF(C20="Income",I20,-I20)</f>
        <v>-1350</v>
      </c>
    </row>
    <row r="21" ht="15" customHeight="1">
      <c r="A21" t="s" s="12">
        <v>98</v>
      </c>
      <c r="B21" s="36">
        <v>46283</v>
      </c>
      <c r="C21" t="s" s="12">
        <v>73</v>
      </c>
      <c r="D21" t="s" s="12">
        <v>74</v>
      </c>
      <c r="E21" t="s" s="12">
        <v>36</v>
      </c>
      <c r="F21" t="s" s="12">
        <v>36</v>
      </c>
      <c r="G21" t="s" s="12">
        <v>60</v>
      </c>
      <c r="H21" t="s" s="12">
        <v>61</v>
      </c>
      <c r="I21" s="20">
        <v>32500</v>
      </c>
      <c r="J21" t="s" s="12">
        <v>62</v>
      </c>
      <c r="K21" s="20" cm="1">
        <f t="array" ref="K21">IF(C21="Income",I21,-I21)</f>
        <v>32500</v>
      </c>
    </row>
    <row r="22" ht="15" customHeight="1">
      <c r="A22" t="s" s="12">
        <v>99</v>
      </c>
      <c r="B22" s="36">
        <v>46283</v>
      </c>
      <c r="C22" t="s" s="12">
        <v>58</v>
      </c>
      <c r="D22" t="s" s="12">
        <v>39</v>
      </c>
      <c r="E22" t="s" s="12">
        <v>100</v>
      </c>
      <c r="F22" t="s" s="12">
        <v>41</v>
      </c>
      <c r="G22" t="s" s="12">
        <v>60</v>
      </c>
      <c r="H22" t="s" s="12">
        <v>61</v>
      </c>
      <c r="I22" s="20">
        <v>1150</v>
      </c>
      <c r="J22" t="s" s="12">
        <v>62</v>
      </c>
      <c r="K22" s="20" cm="1">
        <f t="array" ref="K22">IF(C22="Income",I22,-I22)</f>
        <v>-1150</v>
      </c>
    </row>
    <row r="23" ht="15" customHeight="1">
      <c r="A23" t="s" s="12">
        <v>101</v>
      </c>
      <c r="B23" s="36">
        <v>46284</v>
      </c>
      <c r="C23" t="s" s="12">
        <v>58</v>
      </c>
      <c r="D23" t="s" s="12">
        <v>43</v>
      </c>
      <c r="E23" t="s" s="12">
        <v>102</v>
      </c>
      <c r="F23" t="s" s="12">
        <v>41</v>
      </c>
      <c r="G23" t="s" s="12">
        <v>71</v>
      </c>
      <c r="H23" t="s" s="12">
        <v>61</v>
      </c>
      <c r="I23" s="20">
        <v>470</v>
      </c>
      <c r="J23" t="s" s="12">
        <v>62</v>
      </c>
      <c r="K23" s="20" cm="1">
        <f t="array" ref="K23">IF(C23="Income",I23,-I23)</f>
        <v>-470</v>
      </c>
    </row>
    <row r="24" ht="15" customHeight="1">
      <c r="A24" t="s" s="12">
        <v>103</v>
      </c>
      <c r="B24" s="36">
        <v>46285</v>
      </c>
      <c r="C24" t="s" s="12">
        <v>58</v>
      </c>
      <c r="D24" t="s" s="12">
        <v>44</v>
      </c>
      <c r="E24" t="s" s="12">
        <v>104</v>
      </c>
      <c r="F24" t="s" s="12">
        <v>41</v>
      </c>
      <c r="G24" t="s" s="12">
        <v>60</v>
      </c>
      <c r="H24" t="s" s="12">
        <v>61</v>
      </c>
      <c r="I24" s="20">
        <v>1890</v>
      </c>
      <c r="J24" t="s" s="12">
        <v>62</v>
      </c>
      <c r="K24" s="20" cm="1">
        <f t="array" ref="K24">IF(C24="Income",I24,-I24)</f>
        <v>-1890</v>
      </c>
    </row>
    <row r="25" ht="15" customHeight="1">
      <c r="A25" t="s" s="12">
        <v>105</v>
      </c>
      <c r="B25" s="36">
        <v>46286</v>
      </c>
      <c r="C25" t="s" s="12">
        <v>58</v>
      </c>
      <c r="D25" t="s" s="12">
        <v>37</v>
      </c>
      <c r="E25" t="s" s="12">
        <v>106</v>
      </c>
      <c r="F25" t="s" s="12">
        <v>40</v>
      </c>
      <c r="G25" t="s" s="12">
        <v>60</v>
      </c>
      <c r="H25" t="s" s="12">
        <v>61</v>
      </c>
      <c r="I25" s="20">
        <v>2800</v>
      </c>
      <c r="J25" t="s" s="12">
        <v>62</v>
      </c>
      <c r="K25" s="20" cm="1">
        <f t="array" ref="K25">IF(C25="Income",I25,-I25)</f>
        <v>-2800</v>
      </c>
    </row>
    <row r="26" ht="15" customHeight="1">
      <c r="A26" t="s" s="12">
        <v>107</v>
      </c>
      <c r="B26" s="36">
        <v>46287</v>
      </c>
      <c r="C26" t="s" s="12">
        <v>58</v>
      </c>
      <c r="D26" t="s" s="12">
        <v>33</v>
      </c>
      <c r="E26" t="s" s="12">
        <v>64</v>
      </c>
      <c r="F26" t="s" s="12">
        <v>41</v>
      </c>
      <c r="G26" t="s" s="12">
        <v>60</v>
      </c>
      <c r="H26" t="s" s="12">
        <v>61</v>
      </c>
      <c r="I26" s="20">
        <v>2350</v>
      </c>
      <c r="J26" t="s" s="12">
        <v>62</v>
      </c>
      <c r="K26" s="20" cm="1">
        <f t="array" ref="K26">IF(C26="Income",I26,-I26)</f>
        <v>-2350</v>
      </c>
    </row>
    <row r="27" ht="15" customHeight="1">
      <c r="A27" t="s" s="12">
        <v>108</v>
      </c>
      <c r="B27" s="36">
        <v>46288</v>
      </c>
      <c r="C27" t="s" s="12">
        <v>58</v>
      </c>
      <c r="D27" t="s" s="12">
        <v>37</v>
      </c>
      <c r="E27" t="s" s="12">
        <v>109</v>
      </c>
      <c r="F27" t="s" s="12">
        <v>34</v>
      </c>
      <c r="G27" t="s" s="12">
        <v>71</v>
      </c>
      <c r="H27" t="s" s="12">
        <v>61</v>
      </c>
      <c r="I27" s="20">
        <v>890</v>
      </c>
      <c r="J27" t="s" s="12">
        <v>62</v>
      </c>
      <c r="K27" s="20" cm="1">
        <f t="array" ref="K27">IF(C27="Income",I27,-I27)</f>
        <v>-890</v>
      </c>
    </row>
    <row r="28" ht="15" customHeight="1">
      <c r="A28" t="s" s="12">
        <v>110</v>
      </c>
      <c r="B28" s="36">
        <v>46289</v>
      </c>
      <c r="C28" t="s" s="12">
        <v>58</v>
      </c>
      <c r="D28" t="s" s="12">
        <v>35</v>
      </c>
      <c r="E28" t="s" s="12">
        <v>111</v>
      </c>
      <c r="F28" t="s" s="12">
        <v>41</v>
      </c>
      <c r="G28" t="s" s="12">
        <v>71</v>
      </c>
      <c r="H28" t="s" s="12">
        <v>61</v>
      </c>
      <c r="I28" s="20">
        <v>530</v>
      </c>
      <c r="J28" t="s" s="12">
        <v>62</v>
      </c>
      <c r="K28" s="20" cm="1">
        <f t="array" ref="K28">IF(C28="Income",I28,-I28)</f>
        <v>-530</v>
      </c>
    </row>
    <row r="29" ht="15" customHeight="1">
      <c r="A29" t="s" s="12">
        <v>112</v>
      </c>
      <c r="B29" s="36">
        <v>46290</v>
      </c>
      <c r="C29" t="s" s="12">
        <v>113</v>
      </c>
      <c r="D29" t="s" s="12">
        <v>114</v>
      </c>
      <c r="E29" t="s" s="12">
        <v>115</v>
      </c>
      <c r="F29" t="s" s="12">
        <v>41</v>
      </c>
      <c r="G29" t="s" s="12">
        <v>60</v>
      </c>
      <c r="H29" t="s" s="12">
        <v>116</v>
      </c>
      <c r="I29" s="20">
        <v>7500</v>
      </c>
      <c r="J29" t="s" s="12">
        <v>62</v>
      </c>
      <c r="K29" s="20" cm="1">
        <f t="array" ref="K29">IF(C29="Income",I29,-I29)</f>
        <v>-7500</v>
      </c>
    </row>
    <row r="30" ht="15" customHeight="1">
      <c r="A30" t="s" s="12">
        <v>117</v>
      </c>
      <c r="B30" s="36">
        <v>46291</v>
      </c>
      <c r="C30" t="s" s="12">
        <v>73</v>
      </c>
      <c r="D30" t="s" s="12">
        <v>74</v>
      </c>
      <c r="E30" t="s" s="12">
        <v>34</v>
      </c>
      <c r="F30" t="s" s="12">
        <v>34</v>
      </c>
      <c r="G30" t="s" s="12">
        <v>60</v>
      </c>
      <c r="H30" t="s" s="12">
        <v>61</v>
      </c>
      <c r="I30" s="20">
        <v>14000</v>
      </c>
      <c r="J30" t="s" s="12">
        <v>62</v>
      </c>
      <c r="K30" s="20" cm="1">
        <f t="array" ref="K30">IF(C30="Income",I30,-I30)</f>
        <v>14000</v>
      </c>
    </row>
    <row r="31" ht="15" customHeight="1">
      <c r="A31" t="s" s="12">
        <v>118</v>
      </c>
      <c r="B31" s="36">
        <v>46291</v>
      </c>
      <c r="C31" t="s" s="12">
        <v>58</v>
      </c>
      <c r="D31" t="s" s="12">
        <v>33</v>
      </c>
      <c r="E31" t="s" s="12">
        <v>119</v>
      </c>
      <c r="F31" t="s" s="12">
        <v>41</v>
      </c>
      <c r="G31" t="s" s="12">
        <v>60</v>
      </c>
      <c r="H31" t="s" s="12">
        <v>61</v>
      </c>
      <c r="I31" s="20">
        <v>1050</v>
      </c>
      <c r="J31" t="s" s="12">
        <v>62</v>
      </c>
      <c r="K31" s="20" cm="1">
        <f t="array" ref="K31">IF(C31="Income",I31,-I31)</f>
        <v>-1050</v>
      </c>
    </row>
    <row r="32" ht="15" customHeight="1">
      <c r="A32" t="s" s="12">
        <v>120</v>
      </c>
      <c r="B32" s="36">
        <v>46292</v>
      </c>
      <c r="C32" t="s" s="12">
        <v>58</v>
      </c>
      <c r="D32" t="s" s="12">
        <v>37</v>
      </c>
      <c r="E32" t="s" s="12">
        <v>121</v>
      </c>
      <c r="F32" t="s" s="12">
        <v>32</v>
      </c>
      <c r="G32" t="s" s="12">
        <v>71</v>
      </c>
      <c r="H32" t="s" s="12">
        <v>61</v>
      </c>
      <c r="I32" s="20">
        <v>790</v>
      </c>
      <c r="J32" t="s" s="12">
        <v>62</v>
      </c>
      <c r="K32" s="20" cm="1">
        <f t="array" ref="K32">IF(C32="Income",I32,-I32)</f>
        <v>-790</v>
      </c>
    </row>
    <row r="33" ht="15" customHeight="1">
      <c r="A33" t="s" s="12">
        <v>122</v>
      </c>
      <c r="B33" s="36">
        <v>46293</v>
      </c>
      <c r="C33" t="s" s="12">
        <v>58</v>
      </c>
      <c r="D33" t="s" s="12">
        <v>45</v>
      </c>
      <c r="E33" t="s" s="12">
        <v>123</v>
      </c>
      <c r="F33" t="s" s="12">
        <v>41</v>
      </c>
      <c r="G33" t="s" s="12">
        <v>71</v>
      </c>
      <c r="H33" t="s" s="12">
        <v>61</v>
      </c>
      <c r="I33" s="20">
        <v>420</v>
      </c>
      <c r="J33" t="s" s="12">
        <v>62</v>
      </c>
      <c r="K33" s="20" cm="1">
        <f t="array" ref="K33">IF(C33="Income",I33,-I33)</f>
        <v>-420</v>
      </c>
    </row>
    <row r="34" ht="15" customHeight="1">
      <c r="A34" t="s" s="12">
        <v>124</v>
      </c>
      <c r="B34" s="36">
        <v>46294</v>
      </c>
      <c r="C34" t="s" s="12">
        <v>73</v>
      </c>
      <c r="D34" t="s" s="12">
        <v>125</v>
      </c>
      <c r="E34" t="s" s="12">
        <v>126</v>
      </c>
      <c r="F34" t="s" s="12">
        <v>42</v>
      </c>
      <c r="G34" t="s" s="12">
        <v>60</v>
      </c>
      <c r="H34" t="s" s="12">
        <v>61</v>
      </c>
      <c r="I34" s="20">
        <v>2300</v>
      </c>
      <c r="J34" t="s" s="12">
        <v>62</v>
      </c>
      <c r="K34" s="20" cm="1">
        <f t="array" ref="K34">IF(C34="Income",I34,-I34)</f>
        <v>2300</v>
      </c>
    </row>
    <row r="35" ht="15" customHeight="1">
      <c r="A35" t="s" s="12">
        <v>127</v>
      </c>
      <c r="B35" s="36">
        <v>46294</v>
      </c>
      <c r="C35" t="s" s="12">
        <v>58</v>
      </c>
      <c r="D35" t="s" s="12">
        <v>33</v>
      </c>
      <c r="E35" t="s" s="12">
        <v>64</v>
      </c>
      <c r="F35" t="s" s="12">
        <v>41</v>
      </c>
      <c r="G35" t="s" s="12">
        <v>60</v>
      </c>
      <c r="H35" t="s" s="12">
        <v>61</v>
      </c>
      <c r="I35" s="20">
        <v>1950</v>
      </c>
      <c r="J35" t="s" s="12">
        <v>62</v>
      </c>
      <c r="K35" s="20" cm="1">
        <f t="array" ref="K35">IF(C35="Income",I35,-I35)</f>
        <v>-1950</v>
      </c>
    </row>
    <row r="36" ht="15" customHeight="1">
      <c r="A36" t="s" s="12">
        <v>128</v>
      </c>
      <c r="B36" s="36">
        <v>46295</v>
      </c>
      <c r="C36" t="s" s="12">
        <v>113</v>
      </c>
      <c r="D36" t="s" s="12">
        <v>129</v>
      </c>
      <c r="E36" t="s" s="12">
        <v>130</v>
      </c>
      <c r="F36" t="s" s="12">
        <v>41</v>
      </c>
      <c r="G36" t="s" s="12">
        <v>60</v>
      </c>
      <c r="H36" t="s" s="12">
        <v>116</v>
      </c>
      <c r="I36" s="20">
        <v>6500</v>
      </c>
      <c r="J36" t="s" s="12">
        <v>62</v>
      </c>
      <c r="K36" s="20" cm="1">
        <f t="array" ref="K36">IF(C36="Income",I36,-I36)</f>
        <v>-6500</v>
      </c>
    </row>
    <row r="37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ht="1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ht="1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ht="1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ht="1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ht="1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ht="1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ht="1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ht="1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ht="1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ht="1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ht="1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</sheetData>
  <conditionalFormatting sqref="I2:K36">
    <cfRule type="cellIs" dxfId="1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37" customWidth="1"/>
    <col min="2" max="2" width="22" style="37" customWidth="1"/>
    <col min="3" max="4" width="21" style="37" customWidth="1"/>
    <col min="5" max="5" width="19" style="37" customWidth="1"/>
    <col min="6" max="6" width="20" style="37" customWidth="1"/>
    <col min="7" max="16384" width="8.85156" style="37" customWidth="1"/>
  </cols>
  <sheetData>
    <row r="1" ht="30" customHeight="1">
      <c r="A1" t="s" s="7">
        <v>132</v>
      </c>
      <c r="B1" t="s" s="33">
        <v>133</v>
      </c>
      <c r="C1" t="s" s="33">
        <v>134</v>
      </c>
      <c r="D1" t="s" s="33">
        <v>135</v>
      </c>
      <c r="E1" t="s" s="33">
        <v>136</v>
      </c>
      <c r="F1" t="s" s="34">
        <v>137</v>
      </c>
    </row>
    <row r="2" ht="15" customHeight="1">
      <c r="A2" t="s" s="18">
        <v>32</v>
      </c>
      <c r="B2" t="s" s="18">
        <v>138</v>
      </c>
      <c r="C2" s="19">
        <v>35000</v>
      </c>
      <c r="D2" s="19" cm="1">
        <f t="array" ref="D2">_xlfn.SUMIFS('Transactions'!$I$2:$I$100,'Transactions'!$F$2:$F$100,A2,'Transactions'!$C$2:$C$100,"Income")</f>
        <v>28500</v>
      </c>
      <c r="E2" s="19" cm="1">
        <f t="array" ref="E2">_xlfn.SUMIFS('Transactions'!$I$2:$I$100,'Transactions'!$F$2:$F$100,A2,'Transactions'!$C$2:$C$100,"Expense")</f>
        <v>1680</v>
      </c>
      <c r="F2" s="19" cm="1">
        <f t="array" ref="F2">D2-E2</f>
        <v>26820</v>
      </c>
    </row>
    <row r="3" ht="15" customHeight="1">
      <c r="A3" t="s" s="12">
        <v>34</v>
      </c>
      <c r="B3" t="s" s="12">
        <v>139</v>
      </c>
      <c r="C3" s="20">
        <v>68000</v>
      </c>
      <c r="D3" s="20" cm="1">
        <f t="array" ref="D3">_xlfn.SUMIFS('Transactions'!$I$2:$I$100,'Transactions'!$F$2:$F$100,A3,'Transactions'!$C$2:$C$100,"Income")</f>
        <v>56000</v>
      </c>
      <c r="E3" s="20" cm="1">
        <f t="array" ref="E3">_xlfn.SUMIFS('Transactions'!$I$2:$I$100,'Transactions'!$F$2:$F$100,A3,'Transactions'!$C$2:$C$100,"Expense")</f>
        <v>11340</v>
      </c>
      <c r="F3" s="20" cm="1">
        <f t="array" ref="F3">D3-E3</f>
        <v>44660</v>
      </c>
    </row>
    <row r="4" ht="15" customHeight="1">
      <c r="A4" t="s" s="12">
        <v>36</v>
      </c>
      <c r="B4" t="s" s="12">
        <v>140</v>
      </c>
      <c r="C4" s="20">
        <v>48000</v>
      </c>
      <c r="D4" s="20" cm="1">
        <f t="array" ref="D4">_xlfn.SUMIFS('Transactions'!$I$2:$I$100,'Transactions'!$F$2:$F$100,A4,'Transactions'!$C$2:$C$100,"Income")</f>
        <v>32500</v>
      </c>
      <c r="E4" s="20" cm="1">
        <f t="array" ref="E4">_xlfn.SUMIFS('Transactions'!$I$2:$I$100,'Transactions'!$F$2:$F$100,A4,'Transactions'!$C$2:$C$100,"Expense")</f>
        <v>7750</v>
      </c>
      <c r="F4" s="20" cm="1">
        <f t="array" ref="F4">D4-E4</f>
        <v>24750</v>
      </c>
    </row>
    <row r="5" ht="15" customHeight="1">
      <c r="A5" t="s" s="12">
        <v>38</v>
      </c>
      <c r="B5" t="s" s="12">
        <v>141</v>
      </c>
      <c r="C5" s="20">
        <v>24000</v>
      </c>
      <c r="D5" s="20" cm="1">
        <f t="array" ref="D5">_xlfn.SUMIFS('Transactions'!$I$2:$I$100,'Transactions'!$F$2:$F$100,A5,'Transactions'!$C$2:$C$100,"Income")</f>
        <v>18000</v>
      </c>
      <c r="E5" s="20" cm="1">
        <f t="array" ref="E5">_xlfn.SUMIFS('Transactions'!$I$2:$I$100,'Transactions'!$F$2:$F$100,A5,'Transactions'!$C$2:$C$100,"Expense")</f>
        <v>1970</v>
      </c>
      <c r="F5" s="20" cm="1">
        <f t="array" ref="F5">D5-E5</f>
        <v>16030</v>
      </c>
    </row>
    <row r="6" ht="15" customHeight="1">
      <c r="A6" t="s" s="21">
        <v>40</v>
      </c>
      <c r="B6" t="s" s="21">
        <v>142</v>
      </c>
      <c r="C6" s="22">
        <v>22000</v>
      </c>
      <c r="D6" s="22" cm="1">
        <f t="array" ref="D6">_xlfn.SUMIFS('Transactions'!$I$2:$I$100,'Transactions'!$F$2:$F$100,A6,'Transactions'!$C$2:$C$100,"Income")</f>
        <v>0</v>
      </c>
      <c r="E6" s="22" cm="1">
        <f t="array" ref="E6">_xlfn.SUMIFS('Transactions'!$I$2:$I$100,'Transactions'!$F$2:$F$100,A6,'Transactions'!$C$2:$C$100,"Expense")</f>
        <v>2800</v>
      </c>
      <c r="F6" s="22" cm="1">
        <f t="array" ref="F6">D6-E6</f>
        <v>-2800</v>
      </c>
    </row>
    <row r="7" ht="13.55" customHeight="1">
      <c r="A7" t="s" s="38">
        <v>143</v>
      </c>
      <c r="B7" s="39"/>
      <c r="C7" s="40" cm="1">
        <f t="array" ref="C7">SUM(C2:C6)</f>
        <v>197000</v>
      </c>
      <c r="D7" s="40" cm="1">
        <f t="array" ref="D7">SUM(D2:D6)</f>
        <v>135000</v>
      </c>
      <c r="E7" s="40" cm="1">
        <f t="array" ref="E7">SUM(E2:E6)</f>
        <v>25540</v>
      </c>
      <c r="F7" s="41" cm="1">
        <f t="array" ref="F7">SUM(F2:F6)</f>
        <v>109460</v>
      </c>
    </row>
    <row r="8" ht="15" customHeight="1">
      <c r="A8" s="10"/>
      <c r="B8" s="10"/>
      <c r="C8" s="10"/>
      <c r="D8" s="10"/>
      <c r="E8" s="10"/>
      <c r="F8" s="10"/>
    </row>
    <row r="9" ht="15" customHeight="1">
      <c r="A9" s="17"/>
      <c r="B9" s="17"/>
      <c r="C9" s="17"/>
      <c r="D9" s="17"/>
      <c r="E9" s="17"/>
      <c r="F9" s="17"/>
    </row>
    <row r="10" ht="15" customHeight="1">
      <c r="A10" s="17"/>
      <c r="B10" s="17"/>
      <c r="C10" s="17"/>
      <c r="D10" s="17"/>
      <c r="E10" s="17"/>
      <c r="F10" s="17"/>
    </row>
  </sheetData>
  <conditionalFormatting sqref="C2:F7">
    <cfRule type="cellIs" dxfId="2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19" style="42" customWidth="1"/>
    <col min="2" max="2" width="30" style="42" customWidth="1"/>
    <col min="3" max="3" width="23" style="42" customWidth="1"/>
    <col min="4" max="6" width="18" style="42" customWidth="1"/>
    <col min="7" max="7" width="15" style="42" customWidth="1"/>
    <col min="8" max="8" width="27" style="42" customWidth="1"/>
    <col min="9" max="16384" width="8.85156" style="42" customWidth="1"/>
  </cols>
  <sheetData>
    <row r="1" ht="30" customHeight="1">
      <c r="A1" t="s" s="7">
        <v>145</v>
      </c>
      <c r="B1" t="s" s="33">
        <v>132</v>
      </c>
      <c r="C1" t="s" s="33">
        <v>133</v>
      </c>
      <c r="D1" t="s" s="33">
        <v>146</v>
      </c>
      <c r="E1" t="s" s="33">
        <v>147</v>
      </c>
      <c r="F1" t="s" s="33">
        <v>148</v>
      </c>
      <c r="G1" t="s" s="33">
        <v>55</v>
      </c>
      <c r="H1" t="s" s="34">
        <v>149</v>
      </c>
    </row>
    <row r="2" ht="15" customHeight="1">
      <c r="A2" t="s" s="18">
        <v>150</v>
      </c>
      <c r="B2" t="s" s="18">
        <v>32</v>
      </c>
      <c r="C2" t="s" s="18">
        <v>138</v>
      </c>
      <c r="D2" s="35">
        <v>46268</v>
      </c>
      <c r="E2" s="35">
        <v>46299</v>
      </c>
      <c r="F2" s="30">
        <v>6500</v>
      </c>
      <c r="G2" t="s" s="18">
        <v>151</v>
      </c>
      <c r="H2" t="s" s="18">
        <v>152</v>
      </c>
    </row>
    <row r="3" ht="15" customHeight="1">
      <c r="A3" t="s" s="12">
        <v>153</v>
      </c>
      <c r="B3" t="s" s="12">
        <v>34</v>
      </c>
      <c r="C3" t="s" s="12">
        <v>139</v>
      </c>
      <c r="D3" s="36">
        <v>46291</v>
      </c>
      <c r="E3" s="36">
        <v>46321</v>
      </c>
      <c r="F3" s="31">
        <v>12000</v>
      </c>
      <c r="G3" t="s" s="12">
        <v>151</v>
      </c>
      <c r="H3" t="s" s="12">
        <v>154</v>
      </c>
    </row>
    <row r="4" ht="15" customHeight="1">
      <c r="A4" t="s" s="12">
        <v>155</v>
      </c>
      <c r="B4" t="s" s="12">
        <v>36</v>
      </c>
      <c r="C4" t="s" s="12">
        <v>140</v>
      </c>
      <c r="D4" s="36">
        <v>46290</v>
      </c>
      <c r="E4" s="36">
        <v>46310</v>
      </c>
      <c r="F4" s="31">
        <v>15500</v>
      </c>
      <c r="G4" t="s" s="12">
        <v>151</v>
      </c>
      <c r="H4" t="s" s="12">
        <v>156</v>
      </c>
    </row>
    <row r="5" ht="15" customHeight="1">
      <c r="A5" t="s" s="12">
        <v>157</v>
      </c>
      <c r="B5" t="s" s="12">
        <v>38</v>
      </c>
      <c r="C5" t="s" s="12">
        <v>141</v>
      </c>
      <c r="D5" s="36">
        <v>46294</v>
      </c>
      <c r="E5" s="36">
        <v>46324</v>
      </c>
      <c r="F5" s="31">
        <v>6000</v>
      </c>
      <c r="G5" t="s" s="12">
        <v>151</v>
      </c>
      <c r="H5" t="s" s="12">
        <v>158</v>
      </c>
    </row>
    <row r="6" ht="15" customHeight="1">
      <c r="A6" t="s" s="12">
        <v>159</v>
      </c>
      <c r="B6" t="s" s="12">
        <v>40</v>
      </c>
      <c r="C6" t="s" s="12">
        <v>142</v>
      </c>
      <c r="D6" s="36">
        <v>46293</v>
      </c>
      <c r="E6" s="43">
        <v>46323</v>
      </c>
      <c r="F6" s="44">
        <v>22000</v>
      </c>
      <c r="G6" t="s" s="12">
        <v>151</v>
      </c>
      <c r="H6" t="s" s="12">
        <v>160</v>
      </c>
    </row>
    <row r="7" ht="15" customHeight="1">
      <c r="A7" s="17"/>
      <c r="B7" s="17"/>
      <c r="C7" s="17"/>
      <c r="D7" s="13"/>
      <c r="E7" t="s" s="45">
        <v>161</v>
      </c>
      <c r="F7" s="46" cm="1">
        <f t="array" ref="F7">SUMIF(G2:G6,"Unpaid",F2:F6)</f>
        <v>62000</v>
      </c>
      <c r="G7" s="16"/>
      <c r="H7" s="17"/>
    </row>
    <row r="8" ht="15" customHeight="1">
      <c r="A8" s="17"/>
      <c r="B8" s="17"/>
      <c r="C8" s="17"/>
      <c r="D8" s="17"/>
      <c r="E8" s="10"/>
      <c r="F8" s="10"/>
      <c r="G8" s="17"/>
      <c r="H8" s="17"/>
    </row>
    <row r="9" ht="15" customHeight="1">
      <c r="A9" s="17"/>
      <c r="B9" s="17"/>
      <c r="C9" s="17"/>
      <c r="D9" s="17"/>
      <c r="E9" s="17"/>
      <c r="F9" s="17"/>
      <c r="G9" s="17"/>
      <c r="H9" s="17"/>
    </row>
    <row r="10" ht="15" customHeight="1">
      <c r="A10" s="17"/>
      <c r="B10" s="17"/>
      <c r="C10" s="17"/>
      <c r="D10" s="17"/>
      <c r="E10" s="17"/>
      <c r="F10" s="17"/>
      <c r="G10" s="17"/>
      <c r="H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47" customWidth="1"/>
    <col min="2" max="2" width="100" style="47" customWidth="1"/>
    <col min="3" max="5" width="8.85156" style="47" customWidth="1"/>
    <col min="6" max="16384" width="8.85156" style="47" customWidth="1"/>
  </cols>
  <sheetData>
    <row r="1" ht="30" customHeight="1">
      <c r="A1" t="s" s="7">
        <v>163</v>
      </c>
      <c r="B1" s="8"/>
      <c r="C1" s="16"/>
      <c r="D1" s="17"/>
      <c r="E1" s="17"/>
    </row>
    <row r="2" ht="15" customHeight="1">
      <c r="A2" t="s" s="18">
        <v>164</v>
      </c>
      <c r="B2" t="s" s="18">
        <v>165</v>
      </c>
      <c r="C2" s="17"/>
      <c r="D2" s="17"/>
      <c r="E2" s="17"/>
    </row>
    <row r="3" ht="15" customHeight="1">
      <c r="A3" t="s" s="12">
        <v>10</v>
      </c>
      <c r="B3" t="s" s="12">
        <v>166</v>
      </c>
      <c r="C3" s="17"/>
      <c r="D3" s="17"/>
      <c r="E3" s="17"/>
    </row>
    <row r="4" ht="15" customHeight="1">
      <c r="A4" t="s" s="12">
        <v>13</v>
      </c>
      <c r="B4" t="s" s="12">
        <v>167</v>
      </c>
      <c r="C4" s="17"/>
      <c r="D4" s="17"/>
      <c r="E4" s="17"/>
    </row>
    <row r="5" ht="15" customHeight="1">
      <c r="A5" t="s" s="12">
        <v>46</v>
      </c>
      <c r="B5" t="s" s="12">
        <v>168</v>
      </c>
      <c r="C5" s="17"/>
      <c r="D5" s="17"/>
      <c r="E5" s="17"/>
    </row>
    <row r="6" ht="15" customHeight="1">
      <c r="A6" t="s" s="12">
        <v>4</v>
      </c>
      <c r="B6" t="s" s="12">
        <v>169</v>
      </c>
      <c r="C6" s="17"/>
      <c r="D6" s="17"/>
      <c r="E6" s="17"/>
    </row>
    <row r="7" ht="15" customHeight="1">
      <c r="A7" t="s" s="12">
        <v>131</v>
      </c>
      <c r="B7" t="s" s="12">
        <v>170</v>
      </c>
      <c r="C7" s="17"/>
      <c r="D7" s="17"/>
      <c r="E7" s="17"/>
    </row>
    <row r="8" ht="15" customHeight="1">
      <c r="A8" t="s" s="12">
        <v>144</v>
      </c>
      <c r="B8" t="s" s="12">
        <v>171</v>
      </c>
      <c r="C8" s="17"/>
      <c r="D8" s="17"/>
      <c r="E8" s="17"/>
    </row>
    <row r="9" ht="15" customHeight="1">
      <c r="A9" s="17"/>
      <c r="B9" s="17"/>
      <c r="C9" s="17"/>
      <c r="D9" s="17"/>
      <c r="E9" s="17"/>
    </row>
    <row r="10" ht="1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