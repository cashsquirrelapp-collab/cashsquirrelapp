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d848a5a3b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9779ae5d2d74893"/>
    <x:sheet xmlns:r="http://schemas.openxmlformats.org/officeDocument/2006/relationships" name="Dashboard" sheetId="2" r:id="R79163eccd1fe4b2b"/>
    <x:sheet xmlns:r="http://schemas.openxmlformats.org/officeDocument/2006/relationships" name="Transactions" sheetId="3" r:id="Ra43690c82b3040fb"/>
    <x:sheet xmlns:r="http://schemas.openxmlformats.org/officeDocument/2006/relationships" name="Invoices" sheetId="4" r:id="R916d32b9e84843f1"/>
    <x:sheet xmlns:r="http://schemas.openxmlformats.org/officeDocument/2006/relationships" name="Projects" sheetId="5" r:id="R6234b19b4a4640c2"/>
    <x:sheet xmlns:r="http://schemas.openxmlformats.org/officeDocument/2006/relationships" name="Clients" sheetId="6" r:id="R96cb788ed10248b9"/>
    <x:sheet xmlns:r="http://schemas.openxmlformats.org/officeDocument/2006/relationships" name="Expenses" sheetId="7" r:id="Rb5866e5ba8174a51"/>
    <x:sheet xmlns:r="http://schemas.openxmlformats.org/officeDocument/2006/relationships" name="Categories" sheetId="8" r:id="R4ba1a77887e3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5F4EC"/>
      </x:patternFill>
    </x:fill>
    <x:fill>
      <x:patternFill patternType="solid">
        <x:fgColor rgb="FFFFF0D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2968e636b47cb" /><Relationship Type="http://schemas.openxmlformats.org/officeDocument/2006/relationships/theme" Target="/xl/theme/theme1.xml" Id="Rbcd55a6186174051" /><Relationship Type="http://schemas.openxmlformats.org/officeDocument/2006/relationships/sharedStrings" Target="/xl/sharedStrings.xml" Id="R57acf750eccc4cf1" /><Relationship Type="http://schemas.openxmlformats.org/officeDocument/2006/relationships/worksheet" Target="/xl/worksheets/sheet1.xml" Id="R09779ae5d2d74893" /><Relationship Type="http://schemas.openxmlformats.org/officeDocument/2006/relationships/worksheet" Target="/xl/worksheets/sheet2.xml" Id="R79163eccd1fe4b2b" /><Relationship Type="http://schemas.openxmlformats.org/officeDocument/2006/relationships/worksheet" Target="/xl/worksheets/sheet3.xml" Id="Ra43690c82b3040fb" /><Relationship Type="http://schemas.openxmlformats.org/officeDocument/2006/relationships/worksheet" Target="/xl/worksheets/sheet4.xml" Id="R916d32b9e84843f1" /><Relationship Type="http://schemas.openxmlformats.org/officeDocument/2006/relationships/worksheet" Target="/xl/worksheets/sheet5.xml" Id="R6234b19b4a4640c2" /><Relationship Type="http://schemas.openxmlformats.org/officeDocument/2006/relationships/worksheet" Target="/xl/worksheets/sheet6.xml" Id="R96cb788ed10248b9" /><Relationship Type="http://schemas.openxmlformats.org/officeDocument/2006/relationships/worksheet" Target="/xl/worksheets/sheet7.xml" Id="Rb5866e5ba8174a51" /><Relationship Type="http://schemas.openxmlformats.org/officeDocument/2006/relationships/worksheet" Target="/xl/worksheets/sheet8.xml" Id="R4ba1a77887e349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</x:cols>
  <x:sheetData>
    <x:row r="1" ht="23" customHeight="1">
      <x:c r="A1" s="3" t="str">
        <x:v>Section</x:v>
      </x:c>
      <x:c r="B1" s="3" t="str">
        <x:v>Details</x:v>
      </x:c>
    </x:row>
    <x:row r="2" ht="23" customHeight="1">
      <x:c r="A2" t="str">
        <x:v>Workbook purpose</x:v>
      </x:c>
      <x:c r="B2" t="str">
        <x:v>Fictional solo-freelancer bookkeeping for September 2026; international-style flat ledgers with stable IDs.</x:v>
      </x:c>
    </x:row>
    <x:row r="3" ht="23" customHeight="1">
      <x:c r="A3" t="str">
        <x:v>Currency and dates</x:v>
      </x:c>
      <x:c r="B3" t="str">
        <x:v>All monetary values in THB; dates stored as Excel dates and displayed YYYY-MM-DD.</x:v>
      </x:c>
    </x:row>
    <x:row r="4" ht="23" customHeight="1">
      <x:c r="A4" t="str">
        <x:v>Transactions</x:v>
      </x:c>
      <x:c r="B4" t="str">
        <x:v>Master bank/cash ledger: one row per movement. Transfers are neither income nor expenses.</x:v>
      </x:c>
    </x:row>
    <x:row r="5" ht="23" customHeight="1">
      <x:c r="A5" t="str">
        <x:v>Invoices</x:v>
      </x:c>
      <x:c r="B5" t="str">
        <x:v>One row per issued invoice; invoiced vs received vs outstanding. Outstanding is formula-based.</x:v>
      </x:c>
    </x:row>
    <x:row r="6" ht="23" customHeight="1">
      <x:c r="A6" t="str">
        <x:v>Projects</x:v>
      </x:c>
      <x:c r="B6" t="str">
        <x:v>One row per project; budgeted costs are planning values, not booked expenses.</x:v>
      </x:c>
    </x:row>
    <x:row r="7" ht="23" customHeight="1">
      <x:c r="A7" t="str">
        <x:v>Expenses</x:v>
      </x:c>
      <x:c r="B7" t="str">
        <x:v>Detailed expense register. Business and Personal are distinguished.</x:v>
      </x:c>
    </x:row>
    <x:row r="8" ht="23" customHeight="1">
      <x:c r="A8" t="str">
        <x:v>Clients</x:v>
      </x:c>
      <x:c r="B8" t="str">
        <x:v>Client master data with non-real .example email addresses.</x:v>
      </x:c>
    </x:row>
    <x:row r="9" ht="23" customHeight="1">
      <x:c r="A9" t="str">
        <x:v>Import testing</x:v>
      </x:c>
      <x:c r="B9" t="str">
        <x:v>Import only relevant sheets once. Do NOT import Transactions expenses and Expenses together as separate cash events.</x:v>
      </x:c>
    </x:row>
    <x:row r="10" ht="23" customHeight="1">
      <x:c r="A10" t="str">
        <x:v>Accounting note</x:v>
      </x:c>
      <x:c r="B10" t="str">
        <x:v>Dashboard cash figures are cash basis; issued invoice amounts are not cash until payment.</x:v>
      </x:c>
    </x:row>
    <x:row r="11" ht="23" customHeight="1">
      <x:c r="A11" t="str">
        <x:v>Privacy</x:v>
      </x:c>
      <x:c r="B11" t="str">
        <x:v>Every person, company and transaction is fabricated. No real personal information.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4" hidden="0" customWidth="1"/>
  </x:cols>
  <x:sheetData>
    <x:row r="1" ht="23" customHeight="1">
      <x:c r="A1" s="3" t="str">
        <x:v>METRIC</x:v>
      </x:c>
      <x:c r="B1" s="3" t="str">
        <x:v>VALUE (THB / COUNT)</x:v>
      </x:c>
    </x:row>
    <x:row r="2" ht="23" customHeight="1">
      <x:c r="A2" t="str">
        <x:v>Cash received</x:v>
      </x:c>
      <x:c r="B2" s="6" t="n">
        <x:f>SUM(Transactions!H2:H37)</x:f>
        <x:v>84000</x:v>
      </x:c>
    </x:row>
    <x:row r="3" ht="23" customHeight="1">
      <x:c r="A3" t="str">
        <x:v>Business expenses paid</x:v>
      </x:c>
      <x:c r="B3" s="6" t="n">
        <x:f>SUMIFS(Transactions!I2:I37,Transactions!K2:K37,"Business")</x:f>
        <x:v>31742</x:v>
      </x:c>
    </x:row>
    <x:row r="4" ht="23" customHeight="1">
      <x:c r="A4" t="str">
        <x:v>Personal expenses paid</x:v>
      </x:c>
      <x:c r="B4" s="6" t="n">
        <x:f>SUMIFS(Transactions!I2:I37,Transactions!K2:K37,"Personal")</x:f>
        <x:v>7640</x:v>
      </x:c>
    </x:row>
    <x:row r="5" ht="23" customHeight="1">
      <x:c r="A5" s="10" t="str">
        <x:v>Operating cash surplus</x:v>
      </x:c>
      <x:c r="B5" s="11" t="n">
        <x:f>B2-B3</x:f>
        <x:v>52258</x:v>
      </x:c>
    </x:row>
    <x:row r="6" ht="23" customHeight="1">
      <x:c r="A6" t="str">
        <x:v>Owner transfers out</x:v>
      </x:c>
      <x:c r="B6" s="6" t="n">
        <x:f>SUMIFS(Transactions!I2:I37,Transactions!B2:B37,"Transfer")</x:f>
        <x:v>15000</x:v>
      </x:c>
    </x:row>
    <x:row r="7" ht="23" customHeight="1">
      <x:c r="A7" t="str">
        <x:v>Net change in cash</x:v>
      </x:c>
      <x:c r="B7" s="6" t="n">
        <x:f>B2-B3-B4-B6</x:f>
        <x:v>29618</x:v>
      </x:c>
    </x:row>
    <x:row r="8" ht="23" customHeight="1">
      <x:c r="A8" t="str">
        <x:v>Total invoices issued</x:v>
      </x:c>
      <x:c r="B8" s="6" t="n">
        <x:f>SUM(Invoices!F2:F9)</x:f>
        <x:v>167000</x:v>
      </x:c>
    </x:row>
    <x:row r="9" ht="23" customHeight="1">
      <x:c r="A9" s="14" t="str">
        <x:v>Receivables outstanding</x:v>
      </x:c>
      <x:c r="B9" s="15" t="n">
        <x:f>SUM(Invoices!J2:J9)</x:f>
        <x:v>83000</x:v>
      </x:c>
    </x:row>
    <x:row r="10" ht="23" customHeight="1">
      <x:c r="A10" t="str">
        <x:v>Total projects</x:v>
      </x:c>
      <x:c r="B10" t="n">
        <x:f>COUNTA(Projects!A2:A9)</x:f>
        <x:v>8</x:v>
      </x:c>
    </x:row>
    <x:row r="11" ht="23" customHeight="1">
      <x:c r="A11" t="str">
        <x:v>Invoice count</x:v>
      </x:c>
      <x:c r="B11" t="n">
        <x:f>COUNTA(Invoices!A2:A9)</x:f>
        <x:v>8</x:v>
      </x:c>
    </x:row>
    <x:row r="12" ht="23" customHeight="1">
      <x:c r="A12" t="str">
        <x:v>Transaction count</x:v>
      </x:c>
      <x:c r="B12" t="n">
        <x:f>COUNTA(Transactions!C2:C37)</x:f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9" hidden="0" customWidth="1"/>
    <x:col min="10" max="10" width="16" hidden="0" customWidth="1"/>
    <x:col min="11" max="11" width="16" hidden="0" customWidth="1"/>
  </x:cols>
  <x:sheetData>
    <x:row r="1" ht="23" customHeight="1">
      <x:c r="A1" s="3" t="str">
        <x:v>Date</x:v>
      </x:c>
      <x:c r="B1" s="3" t="str">
        <x:v>Type</x:v>
      </x:c>
      <x:c r="C1" s="3" t="str">
        <x:v>Reference ID</x:v>
      </x:c>
      <x:c r="D1" s="3" t="str">
        <x:v>Project ID</x:v>
      </x:c>
      <x:c r="E1" s="3" t="str">
        <x:v>Client ID</x:v>
      </x:c>
      <x:c r="F1" s="3" t="str">
        <x:v>Description</x:v>
      </x:c>
      <x:c r="G1" s="3" t="str">
        <x:v>Category</x:v>
      </x:c>
      <x:c r="H1" s="3" t="str">
        <x:v>Money In (THB)</x:v>
      </x:c>
      <x:c r="I1" s="3" t="str">
        <x:v>Money Out (THB)</x:v>
      </x:c>
      <x:c r="J1" s="3" t="str">
        <x:v>Method</x:v>
      </x:c>
      <x:c r="K1" s="3" t="str">
        <x:v>Use</x:v>
      </x:c>
    </x:row>
    <x:row r="2" ht="23" customHeight="1">
      <x:c r="A2" s="8" t="n">
        <x:v>46266</x:v>
      </x:c>
      <x:c r="B2" t="str">
        <x:v>Expense</x:v>
      </x:c>
      <x:c r="C2" t="str">
        <x:v>E001</x:v>
      </x:c>
      <x:c r="D2" t="str"/>
      <x:c r="E2" t="str"/>
      <x:c r="F2" t="str">
        <x:v>Adobe Creative Cloud</x:v>
      </x:c>
      <x:c r="G2" t="str">
        <x:v>Software &amp; Subscriptions</x:v>
      </x:c>
      <x:c r="H2" s="6" t="n">
        <x:v>0</x:v>
      </x:c>
      <x:c r="I2" s="6" t="n">
        <x:v>1599</x:v>
      </x:c>
      <x:c r="J2" t="str">
        <x:v>Card</x:v>
      </x:c>
      <x:c r="K2" t="str">
        <x:v>Business</x:v>
      </x:c>
    </x:row>
    <x:row r="3" ht="23" customHeight="1">
      <x:c r="A3" s="8" t="n">
        <x:v>46267</x:v>
      </x:c>
      <x:c r="B3" t="str">
        <x:v>Expense</x:v>
      </x:c>
      <x:c r="C3" t="str">
        <x:v>E002</x:v>
      </x:c>
      <x:c r="D3" t="str"/>
      <x:c r="E3" t="str"/>
      <x:c r="F3" t="str">
        <x:v>Home internet</x:v>
      </x:c>
      <x:c r="G3" t="str">
        <x:v>Internet &amp; Phone</x:v>
      </x:c>
      <x:c r="H3" s="6" t="n">
        <x:v>0</x:v>
      </x:c>
      <x:c r="I3" s="6" t="n">
        <x:v>799</x:v>
      </x:c>
      <x:c r="J3" t="str">
        <x:v>Bank</x:v>
      </x:c>
      <x:c r="K3" t="str">
        <x:v>Business</x:v>
      </x:c>
    </x:row>
    <x:row r="4" ht="23" customHeight="1">
      <x:c r="A4" s="8" t="n">
        <x:v>46268</x:v>
      </x:c>
      <x:c r="B4" t="str">
        <x:v>Expense</x:v>
      </x:c>
      <x:c r="C4" t="str">
        <x:v>E003</x:v>
      </x:c>
      <x:c r="D4" t="str">
        <x:v>P001</x:v>
      </x:c>
      <x:c r="E4" t="str"/>
      <x:c r="F4" t="str">
        <x:v>Stock photos for Northstar</x:v>
      </x:c>
      <x:c r="G4" t="str">
        <x:v>Project Materials</x:v>
      </x:c>
      <x:c r="H4" s="6" t="n">
        <x:v>0</x:v>
      </x:c>
      <x:c r="I4" s="6" t="n">
        <x:v>1800</x:v>
      </x:c>
      <x:c r="J4" t="str">
        <x:v>Card</x:v>
      </x:c>
      <x:c r="K4" t="str">
        <x:v>Business</x:v>
      </x:c>
    </x:row>
    <x:row r="5" ht="23" customHeight="1">
      <x:c r="A5" s="8" t="n">
        <x:v>46269</x:v>
      </x:c>
      <x:c r="B5" t="str">
        <x:v>Expense</x:v>
      </x:c>
      <x:c r="C5" t="str">
        <x:v>E004</x:v>
      </x:c>
      <x:c r="D5" t="str"/>
      <x:c r="E5" t="str"/>
      <x:c r="F5" t="str">
        <x:v>Lunch</x:v>
      </x:c>
      <x:c r="G5" t="str">
        <x:v>Meals</x:v>
      </x:c>
      <x:c r="H5" s="6" t="n">
        <x:v>0</x:v>
      </x:c>
      <x:c r="I5" s="6" t="n">
        <x:v>180</x:v>
      </x:c>
      <x:c r="J5" t="str">
        <x:v>Cash</x:v>
      </x:c>
      <x:c r="K5" t="str">
        <x:v>Personal</x:v>
      </x:c>
    </x:row>
    <x:row r="6" ht="23" customHeight="1">
      <x:c r="A6" s="8" t="n">
        <x:v>46270</x:v>
      </x:c>
      <x:c r="B6" t="str">
        <x:v>Expense</x:v>
      </x:c>
      <x:c r="C6" t="str">
        <x:v>E005</x:v>
      </x:c>
      <x:c r="D6" t="str"/>
      <x:c r="E6" t="str"/>
      <x:c r="F6" t="str">
        <x:v>Figma subscription</x:v>
      </x:c>
      <x:c r="G6" t="str">
        <x:v>Software &amp; Subscriptions</x:v>
      </x:c>
      <x:c r="H6" s="6" t="n">
        <x:v>0</x:v>
      </x:c>
      <x:c r="I6" s="6" t="n">
        <x:v>550</x:v>
      </x:c>
      <x:c r="J6" t="str">
        <x:v>Card</x:v>
      </x:c>
      <x:c r="K6" t="str">
        <x:v>Business</x:v>
      </x:c>
    </x:row>
    <x:row r="7" ht="23" customHeight="1">
      <x:c r="A7" s="8" t="n">
        <x:v>46271</x:v>
      </x:c>
      <x:c r="B7" t="str">
        <x:v>Expense</x:v>
      </x:c>
      <x:c r="C7" t="str">
        <x:v>E006</x:v>
      </x:c>
      <x:c r="D7" t="str">
        <x:v>P002</x:v>
      </x:c>
      <x:c r="E7" t="str"/>
      <x:c r="F7" t="str">
        <x:v>Taxi to client meeting</x:v>
      </x:c>
      <x:c r="G7" t="str">
        <x:v>Transport</x:v>
      </x:c>
      <x:c r="H7" s="6" t="n">
        <x:v>0</x:v>
      </x:c>
      <x:c r="I7" s="6" t="n">
        <x:v>320</x:v>
      </x:c>
      <x:c r="J7" t="str">
        <x:v>Bank</x:v>
      </x:c>
      <x:c r="K7" t="str">
        <x:v>Business</x:v>
      </x:c>
    </x:row>
    <x:row r="8" ht="23" customHeight="1">
      <x:c r="A8" s="8" t="n">
        <x:v>46272</x:v>
      </x:c>
      <x:c r="B8" t="str">
        <x:v>Expense</x:v>
      </x:c>
      <x:c r="C8" t="str">
        <x:v>E007</x:v>
      </x:c>
      <x:c r="D8" t="str"/>
      <x:c r="E8" t="str"/>
      <x:c r="F8" t="str">
        <x:v>Studio rent</x:v>
      </x:c>
      <x:c r="G8" t="str">
        <x:v>Rent &amp; Utilities</x:v>
      </x:c>
      <x:c r="H8" s="6" t="n">
        <x:v>0</x:v>
      </x:c>
      <x:c r="I8" s="6" t="n">
        <x:v>6000</x:v>
      </x:c>
      <x:c r="J8" t="str">
        <x:v>Bank</x:v>
      </x:c>
      <x:c r="K8" t="str">
        <x:v>Business</x:v>
      </x:c>
    </x:row>
    <x:row r="9" ht="23" customHeight="1">
      <x:c r="A9" s="8" t="n">
        <x:v>46273</x:v>
      </x:c>
      <x:c r="B9" t="str">
        <x:v>Expense</x:v>
      </x:c>
      <x:c r="C9" t="str">
        <x:v>E008</x:v>
      </x:c>
      <x:c r="D9" t="str">
        <x:v>P004</x:v>
      </x:c>
      <x:c r="E9" t="str"/>
      <x:c r="F9" t="str">
        <x:v>Motion templates</x:v>
      </x:c>
      <x:c r="G9" t="str">
        <x:v>Project Materials</x:v>
      </x:c>
      <x:c r="H9" s="6" t="n">
        <x:v>0</x:v>
      </x:c>
      <x:c r="I9" s="6" t="n">
        <x:v>2250</x:v>
      </x:c>
      <x:c r="J9" t="str">
        <x:v>Card</x:v>
      </x:c>
      <x:c r="K9" t="str">
        <x:v>Business</x:v>
      </x:c>
    </x:row>
    <x:row r="10" ht="23" customHeight="1">
      <x:c r="A10" s="8" t="n">
        <x:v>46274</x:v>
      </x:c>
      <x:c r="B10" t="str">
        <x:v>Expense</x:v>
      </x:c>
      <x:c r="C10" t="str">
        <x:v>E009</x:v>
      </x:c>
      <x:c r="D10" t="str"/>
      <x:c r="E10" t="str"/>
      <x:c r="F10" t="str">
        <x:v>Supermarket</x:v>
      </x:c>
      <x:c r="G10" t="str">
        <x:v>Groceries</x:v>
      </x:c>
      <x:c r="H10" s="6" t="n">
        <x:v>0</x:v>
      </x:c>
      <x:c r="I10" s="6" t="n">
        <x:v>1240</x:v>
      </x:c>
      <x:c r="J10" t="str">
        <x:v>Card</x:v>
      </x:c>
      <x:c r="K10" t="str">
        <x:v>Personal</x:v>
      </x:c>
    </x:row>
    <x:row r="11" ht="23" customHeight="1">
      <x:c r="A11" s="8" t="n">
        <x:v>46275</x:v>
      </x:c>
      <x:c r="B11" t="str">
        <x:v>Expense</x:v>
      </x:c>
      <x:c r="C11" t="str">
        <x:v>E010</x:v>
      </x:c>
      <x:c r="D11" t="str"/>
      <x:c r="E11" t="str"/>
      <x:c r="F11" t="str">
        <x:v>Portfolio ads</x:v>
      </x:c>
      <x:c r="G11" t="str">
        <x:v>Marketing</x:v>
      </x:c>
      <x:c r="H11" s="6" t="n">
        <x:v>0</x:v>
      </x:c>
      <x:c r="I11" s="6" t="n">
        <x:v>1200</x:v>
      </x:c>
      <x:c r="J11" t="str">
        <x:v>Card</x:v>
      </x:c>
      <x:c r="K11" t="str">
        <x:v>Business</x:v>
      </x:c>
    </x:row>
    <x:row r="12" ht="23" customHeight="1">
      <x:c r="A12" s="8" t="n">
        <x:v>46276</x:v>
      </x:c>
      <x:c r="B12" t="str">
        <x:v>Expense</x:v>
      </x:c>
      <x:c r="C12" t="str">
        <x:v>E011</x:v>
      </x:c>
      <x:c r="D12" t="str">
        <x:v>P004</x:v>
      </x:c>
      <x:c r="E12" t="str"/>
      <x:c r="F12" t="str">
        <x:v>Audio mix contractor</x:v>
      </x:c>
      <x:c r="G12" t="str">
        <x:v>Contractors</x:v>
      </x:c>
      <x:c r="H12" s="6" t="n">
        <x:v>0</x:v>
      </x:c>
      <x:c r="I12" s="6" t="n">
        <x:v>4200</x:v>
      </x:c>
      <x:c r="J12" t="str">
        <x:v>Bank</x:v>
      </x:c>
      <x:c r="K12" t="str">
        <x:v>Business</x:v>
      </x:c>
    </x:row>
    <x:row r="13" ht="23" customHeight="1">
      <x:c r="A13" s="8" t="n">
        <x:v>46277</x:v>
      </x:c>
      <x:c r="B13" t="str">
        <x:v>Expense</x:v>
      </x:c>
      <x:c r="C13" t="str">
        <x:v>E012</x:v>
      </x:c>
      <x:c r="D13" t="str"/>
      <x:c r="E13" t="str"/>
      <x:c r="F13" t="str">
        <x:v>Electricity</x:v>
      </x:c>
      <x:c r="G13" t="str">
        <x:v>Utilities</x:v>
      </x:c>
      <x:c r="H13" s="6" t="n">
        <x:v>0</x:v>
      </x:c>
      <x:c r="I13" s="6" t="n">
        <x:v>980</x:v>
      </x:c>
      <x:c r="J13" t="str">
        <x:v>Bank</x:v>
      </x:c>
      <x:c r="K13" t="str">
        <x:v>Business</x:v>
      </x:c>
    </x:row>
    <x:row r="14" ht="23" customHeight="1">
      <x:c r="A14" s="8" t="n">
        <x:v>46278</x:v>
      </x:c>
      <x:c r="B14" t="str">
        <x:v>Expense</x:v>
      </x:c>
      <x:c r="C14" t="str">
        <x:v>E013</x:v>
      </x:c>
      <x:c r="D14" t="str"/>
      <x:c r="E14" t="str"/>
      <x:c r="F14" t="str">
        <x:v>Weekend leisure travel</x:v>
      </x:c>
      <x:c r="G14" t="str">
        <x:v>Travel</x:v>
      </x:c>
      <x:c r="H14" s="6" t="n">
        <x:v>0</x:v>
      </x:c>
      <x:c r="I14" s="6" t="n">
        <x:v>1700</x:v>
      </x:c>
      <x:c r="J14" t="str">
        <x:v>Card</x:v>
      </x:c>
      <x:c r="K14" t="str">
        <x:v>Personal</x:v>
      </x:c>
    </x:row>
    <x:row r="15" ht="23" customHeight="1">
      <x:c r="A15" s="8" t="n">
        <x:v>46279</x:v>
      </x:c>
      <x:c r="B15" t="str">
        <x:v>Expense</x:v>
      </x:c>
      <x:c r="C15" t="str">
        <x:v>E014</x:v>
      </x:c>
      <x:c r="D15" t="str">
        <x:v>P004</x:v>
      </x:c>
      <x:c r="E15" t="str"/>
      <x:c r="F15" t="str">
        <x:v>Wireless microphone</x:v>
      </x:c>
      <x:c r="G15" t="str">
        <x:v>Equipment</x:v>
      </x:c>
      <x:c r="H15" s="6" t="n">
        <x:v>0</x:v>
      </x:c>
      <x:c r="I15" s="6" t="n">
        <x:v>1350</x:v>
      </x:c>
      <x:c r="J15" t="str">
        <x:v>Card</x:v>
      </x:c>
      <x:c r="K15" t="str">
        <x:v>Business</x:v>
      </x:c>
    </x:row>
    <x:row r="16" ht="23" customHeight="1">
      <x:c r="A16" s="8" t="n">
        <x:v>46280</x:v>
      </x:c>
      <x:c r="B16" t="str">
        <x:v>Expense</x:v>
      </x:c>
      <x:c r="C16" t="str">
        <x:v>E015</x:v>
      </x:c>
      <x:c r="D16" t="str"/>
      <x:c r="E16" t="str"/>
      <x:c r="F16" t="str">
        <x:v>Cloud storage</x:v>
      </x:c>
      <x:c r="G16" t="str">
        <x:v>Software &amp; Subscriptions</x:v>
      </x:c>
      <x:c r="H16" s="6" t="n">
        <x:v>0</x:v>
      </x:c>
      <x:c r="I16" s="6" t="n">
        <x:v>329</x:v>
      </x:c>
      <x:c r="J16" t="str">
        <x:v>Card</x:v>
      </x:c>
      <x:c r="K16" t="str">
        <x:v>Business</x:v>
      </x:c>
    </x:row>
    <x:row r="17" ht="23" customHeight="1">
      <x:c r="A17" s="8" t="n">
        <x:v>46281</x:v>
      </x:c>
      <x:c r="B17" t="str">
        <x:v>Expense</x:v>
      </x:c>
      <x:c r="C17" t="str">
        <x:v>E016</x:v>
      </x:c>
      <x:c r="D17" t="str">
        <x:v>P001</x:v>
      </x:c>
      <x:c r="E17" t="str"/>
      <x:c r="F17" t="str">
        <x:v>Illustration assets</x:v>
      </x:c>
      <x:c r="G17" t="str">
        <x:v>Project Materials</x:v>
      </x:c>
      <x:c r="H17" s="6" t="n">
        <x:v>0</x:v>
      </x:c>
      <x:c r="I17" s="6" t="n">
        <x:v>1700</x:v>
      </x:c>
      <x:c r="J17" t="str">
        <x:v>Card</x:v>
      </x:c>
      <x:c r="K17" t="str">
        <x:v>Business</x:v>
      </x:c>
    </x:row>
    <x:row r="18" ht="23" customHeight="1">
      <x:c r="A18" s="8" t="n">
        <x:v>46282</x:v>
      </x:c>
      <x:c r="B18" t="str">
        <x:v>Expense</x:v>
      </x:c>
      <x:c r="C18" t="str">
        <x:v>E017</x:v>
      </x:c>
      <x:c r="D18" t="str"/>
      <x:c r="E18" t="str"/>
      <x:c r="F18" t="str">
        <x:v>Online design course</x:v>
      </x:c>
      <x:c r="G18" t="str">
        <x:v>Education</x:v>
      </x:c>
      <x:c r="H18" s="6" t="n">
        <x:v>0</x:v>
      </x:c>
      <x:c r="I18" s="6" t="n">
        <x:v>900</x:v>
      </x:c>
      <x:c r="J18" t="str">
        <x:v>Card</x:v>
      </x:c>
      <x:c r="K18" t="str">
        <x:v>Business</x:v>
      </x:c>
    </x:row>
    <x:row r="19" ht="23" customHeight="1">
      <x:c r="A19" s="8" t="n">
        <x:v>46282</x:v>
      </x:c>
      <x:c r="B19" t="str">
        <x:v>Income</x:v>
      </x:c>
      <x:c r="C19" t="str">
        <x:v>INV-2609-002</x:v>
      </x:c>
      <x:c r="D19" t="str">
        <x:v>P002</x:v>
      </x:c>
      <x:c r="E19" t="str">
        <x:v>C002</x:v>
      </x:c>
      <x:c r="F19" t="str">
        <x:v>Client payment for INV-2609-002</x:v>
      </x:c>
      <x:c r="G19" t="str">
        <x:v>Client Payments</x:v>
      </x:c>
      <x:c r="H19" s="6" t="n">
        <x:v>22000</x:v>
      </x:c>
      <x:c r="I19" s="6" t="n">
        <x:v>0</x:v>
      </x:c>
      <x:c r="J19" t="str">
        <x:v>Bank Transfer</x:v>
      </x:c>
      <x:c r="K19" t="str">
        <x:v>Business</x:v>
      </x:c>
    </x:row>
    <x:row r="20" ht="23" customHeight="1">
      <x:c r="A20" s="8" t="n">
        <x:v>46283</x:v>
      </x:c>
      <x:c r="B20" t="str">
        <x:v>Expense</x:v>
      </x:c>
      <x:c r="C20" t="str">
        <x:v>E018</x:v>
      </x:c>
      <x:c r="D20" t="str">
        <x:v>P005</x:v>
      </x:c>
      <x:c r="E20" t="str"/>
      <x:c r="F20" t="str">
        <x:v>Client visit commute</x:v>
      </x:c>
      <x:c r="G20" t="str">
        <x:v>Transport</x:v>
      </x:c>
      <x:c r="H20" s="6" t="n">
        <x:v>0</x:v>
      </x:c>
      <x:c r="I20" s="6" t="n">
        <x:v>280</x:v>
      </x:c>
      <x:c r="J20" t="str">
        <x:v>Cash</x:v>
      </x:c>
      <x:c r="K20" t="str">
        <x:v>Business</x:v>
      </x:c>
    </x:row>
    <x:row r="21" ht="23" customHeight="1">
      <x:c r="A21" s="8" t="n">
        <x:v>46283</x:v>
      </x:c>
      <x:c r="B21" t="str">
        <x:v>Income</x:v>
      </x:c>
      <x:c r="C21" t="str">
        <x:v>INV-2609-001</x:v>
      </x:c>
      <x:c r="D21" t="str">
        <x:v>P001</x:v>
      </x:c>
      <x:c r="E21" t="str">
        <x:v>C001</x:v>
      </x:c>
      <x:c r="F21" t="str">
        <x:v>Client payment for INV-2609-001</x:v>
      </x:c>
      <x:c r="G21" t="str">
        <x:v>Client Payments</x:v>
      </x:c>
      <x:c r="H21" s="6" t="n">
        <x:v>32000</x:v>
      </x:c>
      <x:c r="I21" s="6" t="n">
        <x:v>0</x:v>
      </x:c>
      <x:c r="J21" t="str">
        <x:v>Bank Transfer</x:v>
      </x:c>
      <x:c r="K21" t="str">
        <x:v>Business</x:v>
      </x:c>
    </x:row>
    <x:row r="22" ht="23" customHeight="1">
      <x:c r="A22" s="8" t="n">
        <x:v>46284</x:v>
      </x:c>
      <x:c r="B22" t="str">
        <x:v>Expense</x:v>
      </x:c>
      <x:c r="C22" t="str">
        <x:v>E019</x:v>
      </x:c>
      <x:c r="D22" t="str"/>
      <x:c r="E22" t="str"/>
      <x:c r="F22" t="str">
        <x:v>Dinner</x:v>
      </x:c>
      <x:c r="G22" t="str">
        <x:v>Meals</x:v>
      </x:c>
      <x:c r="H22" s="6" t="n">
        <x:v>0</x:v>
      </x:c>
      <x:c r="I22" s="6" t="n">
        <x:v>330</x:v>
      </x:c>
      <x:c r="J22" t="str">
        <x:v>Cash</x:v>
      </x:c>
      <x:c r="K22" t="str">
        <x:v>Personal</x:v>
      </x:c>
    </x:row>
    <x:row r="23" ht="23" customHeight="1">
      <x:c r="A23" s="8" t="n">
        <x:v>46284</x:v>
      </x:c>
      <x:c r="B23" t="str">
        <x:v>Transfer</x:v>
      </x:c>
      <x:c r="C23" t="str">
        <x:v>TRF-001</x:v>
      </x:c>
      <x:c r="D23" t="str"/>
      <x:c r="E23" t="str"/>
      <x:c r="F23" t="str">
        <x:v>Transfer to personal savings</x:v>
      </x:c>
      <x:c r="G23" t="str">
        <x:v>Owner Transfer</x:v>
      </x:c>
      <x:c r="H23" s="6" t="n">
        <x:v>0</x:v>
      </x:c>
      <x:c r="I23" s="6" t="n">
        <x:v>10000</x:v>
      </x:c>
      <x:c r="J23" t="str">
        <x:v>Bank Transfer</x:v>
      </x:c>
      <x:c r="K23" t="str">
        <x:v>Transfer</x:v>
      </x:c>
    </x:row>
    <x:row r="24" ht="23" customHeight="1">
      <x:c r="A24" s="8" t="n">
        <x:v>46285</x:v>
      </x:c>
      <x:c r="B24" t="str">
        <x:v>Expense</x:v>
      </x:c>
      <x:c r="C24" t="str">
        <x:v>E020</x:v>
      </x:c>
      <x:c r="D24" t="str">
        <x:v>P007</x:v>
      </x:c>
      <x:c r="E24" t="str"/>
      <x:c r="F24" t="str">
        <x:v>Junior editing support</x:v>
      </x:c>
      <x:c r="G24" t="str">
        <x:v>Contractors</x:v>
      </x:c>
      <x:c r="H24" s="6" t="n">
        <x:v>0</x:v>
      </x:c>
      <x:c r="I24" s="6" t="n">
        <x:v>2600</x:v>
      </x:c>
      <x:c r="J24" t="str">
        <x:v>Bank</x:v>
      </x:c>
      <x:c r="K24" t="str">
        <x:v>Business</x:v>
      </x:c>
    </x:row>
    <x:row r="25" ht="23" customHeight="1">
      <x:c r="A25" s="8" t="n">
        <x:v>46286</x:v>
      </x:c>
      <x:c r="B25" t="str">
        <x:v>Expense</x:v>
      </x:c>
      <x:c r="C25" t="str">
        <x:v>E021</x:v>
      </x:c>
      <x:c r="D25" t="str">
        <x:v>P006</x:v>
      </x:c>
      <x:c r="E25" t="str"/>
      <x:c r="F25" t="str">
        <x:v>Automation testing service</x:v>
      </x:c>
      <x:c r="G25" t="str">
        <x:v>Project Materials</x:v>
      </x:c>
      <x:c r="H25" s="6" t="n">
        <x:v>0</x:v>
      </x:c>
      <x:c r="I25" s="6" t="n">
        <x:v>1250</x:v>
      </x:c>
      <x:c r="J25" t="str">
        <x:v>Card</x:v>
      </x:c>
      <x:c r="K25" t="str">
        <x:v>Business</x:v>
      </x:c>
    </x:row>
    <x:row r="26" ht="23" customHeight="1">
      <x:c r="A26" s="8" t="n">
        <x:v>46287</x:v>
      </x:c>
      <x:c r="B26" t="str">
        <x:v>Expense</x:v>
      </x:c>
      <x:c r="C26" t="str">
        <x:v>E022</x:v>
      </x:c>
      <x:c r="D26" t="str"/>
      <x:c r="E26" t="str"/>
      <x:c r="F26" t="str">
        <x:v>Weekly grocery shop</x:v>
      </x:c>
      <x:c r="G26" t="str">
        <x:v>Groceries</x:v>
      </x:c>
      <x:c r="H26" s="6" t="n">
        <x:v>0</x:v>
      </x:c>
      <x:c r="I26" s="6" t="n">
        <x:v>1570</x:v>
      </x:c>
      <x:c r="J26" t="str">
        <x:v>Card</x:v>
      </x:c>
      <x:c r="K26" t="str">
        <x:v>Personal</x:v>
      </x:c>
    </x:row>
    <x:row r="27" ht="23" customHeight="1">
      <x:c r="A27" s="8" t="n">
        <x:v>46288</x:v>
      </x:c>
      <x:c r="B27" t="str">
        <x:v>Expense</x:v>
      </x:c>
      <x:c r="C27" t="str">
        <x:v>E023</x:v>
      </x:c>
      <x:c r="D27" t="str">
        <x:v>P005</x:v>
      </x:c>
      <x:c r="E27" t="str"/>
      <x:c r="F27" t="str">
        <x:v>Research participant stipend</x:v>
      </x:c>
      <x:c r="G27" t="str">
        <x:v>Project Materials</x:v>
      </x:c>
      <x:c r="H27" s="6" t="n">
        <x:v>0</x:v>
      </x:c>
      <x:c r="I27" s="6" t="n">
        <x:v>800</x:v>
      </x:c>
      <x:c r="J27" t="str">
        <x:v>Bank</x:v>
      </x:c>
      <x:c r="K27" t="str">
        <x:v>Business</x:v>
      </x:c>
    </x:row>
    <x:row r="28" ht="23" customHeight="1">
      <x:c r="A28" s="8" t="n">
        <x:v>46289</x:v>
      </x:c>
      <x:c r="B28" t="str">
        <x:v>Expense</x:v>
      </x:c>
      <x:c r="C28" t="str">
        <x:v>E024</x:v>
      </x:c>
      <x:c r="D28" t="str"/>
      <x:c r="E28" t="str"/>
      <x:c r="F28" t="str">
        <x:v>Laptop stand</x:v>
      </x:c>
      <x:c r="G28" t="str">
        <x:v>Equipment</x:v>
      </x:c>
      <x:c r="H28" s="6" t="n">
        <x:v>0</x:v>
      </x:c>
      <x:c r="I28" s="6" t="n">
        <x:v>790</x:v>
      </x:c>
      <x:c r="J28" t="str">
        <x:v>Card</x:v>
      </x:c>
      <x:c r="K28" t="str">
        <x:v>Business</x:v>
      </x:c>
    </x:row>
    <x:row r="29" ht="23" customHeight="1">
      <x:c r="A29" s="8" t="n">
        <x:v>46290</x:v>
      </x:c>
      <x:c r="B29" t="str">
        <x:v>Expense</x:v>
      </x:c>
      <x:c r="C29" t="str">
        <x:v>E025</x:v>
      </x:c>
      <x:c r="D29" t="str">
        <x:v>P003</x:v>
      </x:c>
      <x:c r="E29" t="str"/>
      <x:c r="F29" t="str">
        <x:v>Content templates</x:v>
      </x:c>
      <x:c r="G29" t="str">
        <x:v>Project Materials</x:v>
      </x:c>
      <x:c r="H29" s="6" t="n">
        <x:v>0</x:v>
      </x:c>
      <x:c r="I29" s="6" t="n">
        <x:v>980</x:v>
      </x:c>
      <x:c r="J29" t="str">
        <x:v>Card</x:v>
      </x:c>
      <x:c r="K29" t="str">
        <x:v>Business</x:v>
      </x:c>
    </x:row>
    <x:row r="30" ht="23" customHeight="1">
      <x:c r="A30" s="8" t="n">
        <x:v>46291</x:v>
      </x:c>
      <x:c r="B30" t="str">
        <x:v>Expense</x:v>
      </x:c>
      <x:c r="C30" t="str">
        <x:v>E026</x:v>
      </x:c>
      <x:c r="D30" t="str"/>
      <x:c r="E30" t="str"/>
      <x:c r="F30" t="str">
        <x:v>Commuter rail</x:v>
      </x:c>
      <x:c r="G30" t="str">
        <x:v>Transport</x:v>
      </x:c>
      <x:c r="H30" s="6" t="n">
        <x:v>0</x:v>
      </x:c>
      <x:c r="I30" s="6" t="n">
        <x:v>120</x:v>
      </x:c>
      <x:c r="J30" t="str">
        <x:v>Cash</x:v>
      </x:c>
      <x:c r="K30" t="str">
        <x:v>Personal</x:v>
      </x:c>
    </x:row>
    <x:row r="31" ht="23" customHeight="1">
      <x:c r="A31" s="8" t="n">
        <x:v>46291</x:v>
      </x:c>
      <x:c r="B31" t="str">
        <x:v>Income</x:v>
      </x:c>
      <x:c r="C31" t="str">
        <x:v>INV-2609-004</x:v>
      </x:c>
      <x:c r="D31" t="str">
        <x:v>P004</x:v>
      </x:c>
      <x:c r="E31" t="str">
        <x:v>C004</x:v>
      </x:c>
      <x:c r="F31" t="str">
        <x:v>Client payment for INV-2609-004</x:v>
      </x:c>
      <x:c r="G31" t="str">
        <x:v>Client Payments</x:v>
      </x:c>
      <x:c r="H31" s="6" t="n">
        <x:v>12000</x:v>
      </x:c>
      <x:c r="I31" s="6" t="n">
        <x:v>0</x:v>
      </x:c>
      <x:c r="J31" t="str">
        <x:v>Bank Transfer</x:v>
      </x:c>
      <x:c r="K31" t="str">
        <x:v>Business</x:v>
      </x:c>
    </x:row>
    <x:row r="32" ht="23" customHeight="1">
      <x:c r="A32" s="8" t="n">
        <x:v>46292</x:v>
      </x:c>
      <x:c r="B32" t="str">
        <x:v>Expense</x:v>
      </x:c>
      <x:c r="C32" t="str">
        <x:v>E027</x:v>
      </x:c>
      <x:c r="D32" t="str"/>
      <x:c r="E32" t="str"/>
      <x:c r="F32" t="str">
        <x:v>AI transcription tool</x:v>
      </x:c>
      <x:c r="G32" t="str">
        <x:v>Software &amp; Subscriptions</x:v>
      </x:c>
      <x:c r="H32" s="6" t="n">
        <x:v>0</x:v>
      </x:c>
      <x:c r="I32" s="6" t="n">
        <x:v>420</x:v>
      </x:c>
      <x:c r="J32" t="str">
        <x:v>Card</x:v>
      </x:c>
      <x:c r="K32" t="str">
        <x:v>Business</x:v>
      </x:c>
    </x:row>
    <x:row r="33" ht="23" customHeight="1">
      <x:c r="A33" s="8" t="n">
        <x:v>46293</x:v>
      </x:c>
      <x:c r="B33" t="str">
        <x:v>Expense</x:v>
      </x:c>
      <x:c r="C33" t="str">
        <x:v>E028</x:v>
      </x:c>
      <x:c r="D33" t="str">
        <x:v>P008</x:v>
      </x:c>
      <x:c r="E33" t="str"/>
      <x:c r="F33" t="str">
        <x:v>Dashboard visualization pack</x:v>
      </x:c>
      <x:c r="G33" t="str">
        <x:v>Project Materials</x:v>
      </x:c>
      <x:c r="H33" s="6" t="n">
        <x:v>0</x:v>
      </x:c>
      <x:c r="I33" s="6" t="n">
        <x:v>550</x:v>
      </x:c>
      <x:c r="J33" t="str">
        <x:v>Card</x:v>
      </x:c>
      <x:c r="K33" t="str">
        <x:v>Business</x:v>
      </x:c>
    </x:row>
    <x:row r="34" ht="23" customHeight="1">
      <x:c r="A34" s="8" t="n">
        <x:v>46293</x:v>
      </x:c>
      <x:c r="B34" t="str">
        <x:v>Transfer</x:v>
      </x:c>
      <x:c r="C34" t="str">
        <x:v>TRF-002</x:v>
      </x:c>
      <x:c r="D34" t="str"/>
      <x:c r="E34" t="str"/>
      <x:c r="F34" t="str">
        <x:v>Owner draw</x:v>
      </x:c>
      <x:c r="G34" t="str">
        <x:v>Owner Transfer</x:v>
      </x:c>
      <x:c r="H34" s="6" t="n">
        <x:v>0</x:v>
      </x:c>
      <x:c r="I34" s="6" t="n">
        <x:v>5000</x:v>
      </x:c>
      <x:c r="J34" t="str">
        <x:v>Bank Transfer</x:v>
      </x:c>
      <x:c r="K34" t="str">
        <x:v>Transfer</x:v>
      </x:c>
    </x:row>
    <x:row r="35" ht="23" customHeight="1">
      <x:c r="A35" s="8" t="n">
        <x:v>46294</x:v>
      </x:c>
      <x:c r="B35" t="str">
        <x:v>Expense</x:v>
      </x:c>
      <x:c r="C35" t="str">
        <x:v>E029</x:v>
      </x:c>
      <x:c r="D35" t="str"/>
      <x:c r="E35" t="str"/>
      <x:c r="F35" t="str">
        <x:v>Health insurance</x:v>
      </x:c>
      <x:c r="G35" t="str">
        <x:v>Insurance</x:v>
      </x:c>
      <x:c r="H35" s="6" t="n">
        <x:v>0</x:v>
      </x:c>
      <x:c r="I35" s="6" t="n">
        <x:v>2500</x:v>
      </x:c>
      <x:c r="J35" t="str">
        <x:v>Bank</x:v>
      </x:c>
      <x:c r="K35" t="str">
        <x:v>Personal</x:v>
      </x:c>
    </x:row>
    <x:row r="36" ht="23" customHeight="1">
      <x:c r="A36" s="8" t="n">
        <x:v>46294</x:v>
      </x:c>
      <x:c r="B36" t="str">
        <x:v>Income</x:v>
      </x:c>
      <x:c r="C36" t="str">
        <x:v>INV-2609-003</x:v>
      </x:c>
      <x:c r="D36" t="str">
        <x:v>P003</x:v>
      </x:c>
      <x:c r="E36" t="str">
        <x:v>C003</x:v>
      </x:c>
      <x:c r="F36" t="str">
        <x:v>Client payment for INV-2609-003</x:v>
      </x:c>
      <x:c r="G36" t="str">
        <x:v>Client Payments</x:v>
      </x:c>
      <x:c r="H36" s="6" t="n">
        <x:v>18000</x:v>
      </x:c>
      <x:c r="I36" s="6" t="n">
        <x:v>0</x:v>
      </x:c>
      <x:c r="J36" t="str">
        <x:v>Bank Transfer</x:v>
      </x:c>
      <x:c r="K36" t="str">
        <x:v>Business</x:v>
      </x:c>
    </x:row>
    <x:row r="37" ht="23" customHeight="1">
      <x:c r="A37" s="8" t="n">
        <x:v>46295</x:v>
      </x:c>
      <x:c r="B37" t="str">
        <x:v>Expense</x:v>
      </x:c>
      <x:c r="C37" t="str">
        <x:v>E030</x:v>
      </x:c>
      <x:c r="D37" t="str"/>
      <x:c r="E37" t="str"/>
      <x:c r="F37" t="str">
        <x:v>Business banking fees</x:v>
      </x:c>
      <x:c r="G37" t="str">
        <x:v>Bank Fees</x:v>
      </x:c>
      <x:c r="H37" s="6" t="n">
        <x:v>0</x:v>
      </x:c>
      <x:c r="I37" s="6" t="n">
        <x:v>95</x:v>
      </x:c>
      <x:c r="J37" t="str">
        <x:v>Bank</x:v>
      </x:c>
      <x:c r="K37" t="str">
        <x:v>Business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</x:cols>
  <x:sheetData>
    <x:row r="1" ht="23" customHeight="1">
      <x:c r="A1" s="3" t="str">
        <x:v>Invoice ID</x:v>
      </x:c>
      <x:c r="B1" s="3" t="str">
        <x:v>Project ID</x:v>
      </x:c>
      <x:c r="C1" s="3" t="str">
        <x:v>Client ID</x:v>
      </x:c>
      <x:c r="D1" s="3" t="str">
        <x:v>Issue Date</x:v>
      </x:c>
      <x:c r="E1" s="3" t="str">
        <x:v>Due Date</x:v>
      </x:c>
      <x:c r="F1" s="3" t="str">
        <x:v>Invoiced (THB)</x:v>
      </x:c>
      <x:c r="G1" s="3" t="str">
        <x:v>Received (THB)</x:v>
      </x:c>
      <x:c r="H1" s="3" t="str">
        <x:v>Payment Status</x:v>
      </x:c>
      <x:c r="I1" s="3" t="str">
        <x:v>Last Payment Date</x:v>
      </x:c>
      <x:c r="J1" s="3" t="str">
        <x:v>Outstanding (THB)</x:v>
      </x:c>
    </x:row>
    <x:row r="2" ht="23" customHeight="1">
      <x:c r="A2" t="str">
        <x:v>INV-2609-001</x:v>
      </x:c>
      <x:c r="B2" t="str">
        <x:v>P001</x:v>
      </x:c>
      <x:c r="C2" t="str">
        <x:v>C001</x:v>
      </x:c>
      <x:c r="D2" s="8" t="n">
        <x:v>46267</x:v>
      </x:c>
      <x:c r="E2" s="8" t="n">
        <x:v>46297</x:v>
      </x:c>
      <x:c r="F2" s="6" t="n">
        <x:v>32000</x:v>
      </x:c>
      <x:c r="G2" s="6" t="n">
        <x:v>32000</x:v>
      </x:c>
      <x:c r="H2" t="str">
        <x:v>Paid</x:v>
      </x:c>
      <x:c r="I2" s="8" t="n">
        <x:v>46283</x:v>
      </x:c>
      <x:c r="J2" s="6" t="n">
        <x:f>F2-G2</x:f>
        <x:v>0</x:v>
      </x:c>
    </x:row>
    <x:row r="3" ht="23" customHeight="1">
      <x:c r="A3" t="str">
        <x:v>INV-2609-002</x:v>
      </x:c>
      <x:c r="B3" t="str">
        <x:v>P002</x:v>
      </x:c>
      <x:c r="C3" t="str">
        <x:v>C002</x:v>
      </x:c>
      <x:c r="D3" s="8" t="n">
        <x:v>46269</x:v>
      </x:c>
      <x:c r="E3" s="8" t="n">
        <x:v>46284</x:v>
      </x:c>
      <x:c r="F3" s="6" t="n">
        <x:v>22000</x:v>
      </x:c>
      <x:c r="G3" s="6" t="n">
        <x:v>22000</x:v>
      </x:c>
      <x:c r="H3" t="str">
        <x:v>Paid</x:v>
      </x:c>
      <x:c r="I3" s="8" t="n">
        <x:v>46282</x:v>
      </x:c>
      <x:c r="J3" s="6" t="n">
        <x:f>F3-G3</x:f>
        <x:v>0</x:v>
      </x:c>
    </x:row>
    <x:row r="4" ht="23" customHeight="1">
      <x:c r="A4" t="str">
        <x:v>INV-2609-003</x:v>
      </x:c>
      <x:c r="B4" t="str">
        <x:v>P003</x:v>
      </x:c>
      <x:c r="C4" t="str">
        <x:v>C003</x:v>
      </x:c>
      <x:c r="D4" s="8" t="n">
        <x:v>46273</x:v>
      </x:c>
      <x:c r="E4" s="8" t="n">
        <x:v>46303</x:v>
      </x:c>
      <x:c r="F4" s="6" t="n">
        <x:v>18000</x:v>
      </x:c>
      <x:c r="G4" s="6" t="n">
        <x:v>18000</x:v>
      </x:c>
      <x:c r="H4" t="str">
        <x:v>Paid</x:v>
      </x:c>
      <x:c r="I4" s="8" t="n">
        <x:v>46294</x:v>
      </x:c>
      <x:c r="J4" s="6" t="n">
        <x:f>F4-G4</x:f>
        <x:v>0</x:v>
      </x:c>
    </x:row>
    <x:row r="5" ht="23" customHeight="1">
      <x:c r="A5" t="str">
        <x:v>INV-2609-004</x:v>
      </x:c>
      <x:c r="B5" t="str">
        <x:v>P004</x:v>
      </x:c>
      <x:c r="C5" t="str">
        <x:v>C004</x:v>
      </x:c>
      <x:c r="D5" s="8" t="n">
        <x:v>46275</x:v>
      </x:c>
      <x:c r="E5" s="8" t="n">
        <x:v>46320</x:v>
      </x:c>
      <x:c r="F5" s="6" t="n">
        <x:v>28000</x:v>
      </x:c>
      <x:c r="G5" s="6" t="n">
        <x:v>12000</x:v>
      </x:c>
      <x:c r="H5" t="str">
        <x:v>Partially Paid</x:v>
      </x:c>
      <x:c r="I5" s="8" t="n">
        <x:v>46291</x:v>
      </x:c>
      <x:c r="J5" s="6" t="n">
        <x:f>F5-G5</x:f>
        <x:v>16000</x:v>
      </x:c>
    </x:row>
    <x:row r="6" ht="23" customHeight="1">
      <x:c r="A6" t="str">
        <x:v>INV-2609-005</x:v>
      </x:c>
      <x:c r="B6" t="str">
        <x:v>P005</x:v>
      </x:c>
      <x:c r="C6" t="str">
        <x:v>C005</x:v>
      </x:c>
      <x:c r="D6" s="8" t="n">
        <x:v>46277</x:v>
      </x:c>
      <x:c r="E6" s="8" t="n">
        <x:v>46292</x:v>
      </x:c>
      <x:c r="F6" s="6" t="n">
        <x:v>16000</x:v>
      </x:c>
      <x:c r="G6" s="6" t="n">
        <x:v>0</x:v>
      </x:c>
      <x:c r="H6" t="str">
        <x:v>Unpaid</x:v>
      </x:c>
      <x:c r="I6" s="8"/>
      <x:c r="J6" s="6" t="n">
        <x:f>F6-G6</x:f>
        <x:v>16000</x:v>
      </x:c>
    </x:row>
    <x:row r="7" ht="23" customHeight="1">
      <x:c r="A7" t="str">
        <x:v>INV-2609-006</x:v>
      </x:c>
      <x:c r="B7" t="str">
        <x:v>P006</x:v>
      </x:c>
      <x:c r="C7" t="str">
        <x:v>C006</x:v>
      </x:c>
      <x:c r="D7" s="8" t="n">
        <x:v>46281</x:v>
      </x:c>
      <x:c r="E7" s="8" t="n">
        <x:v>46311</x:v>
      </x:c>
      <x:c r="F7" s="6" t="n">
        <x:v>24000</x:v>
      </x:c>
      <x:c r="G7" s="6" t="n">
        <x:v>0</x:v>
      </x:c>
      <x:c r="H7" t="str">
        <x:v>Unpaid</x:v>
      </x:c>
      <x:c r="I7" s="8"/>
      <x:c r="J7" s="6" t="n">
        <x:f>F7-G7</x:f>
        <x:v>24000</x:v>
      </x:c>
    </x:row>
    <x:row r="8" ht="23" customHeight="1">
      <x:c r="A8" t="str">
        <x:v>INV-2609-007</x:v>
      </x:c>
      <x:c r="B8" t="str">
        <x:v>P007</x:v>
      </x:c>
      <x:c r="C8" t="str">
        <x:v>C002</x:v>
      </x:c>
      <x:c r="D8" s="8" t="n">
        <x:v>46286</x:v>
      </x:c>
      <x:c r="E8" s="8" t="n">
        <x:v>46301</x:v>
      </x:c>
      <x:c r="F8" s="6" t="n">
        <x:v>12000</x:v>
      </x:c>
      <x:c r="G8" s="6" t="n">
        <x:v>0</x:v>
      </x:c>
      <x:c r="H8" t="str">
        <x:v>Unpaid</x:v>
      </x:c>
      <x:c r="I8" s="8"/>
      <x:c r="J8" s="6" t="n">
        <x:f>F8-G8</x:f>
        <x:v>12000</x:v>
      </x:c>
    </x:row>
    <x:row r="9" ht="23" customHeight="1">
      <x:c r="A9" t="str">
        <x:v>INV-2609-008</x:v>
      </x:c>
      <x:c r="B9" t="str">
        <x:v>P008</x:v>
      </x:c>
      <x:c r="C9" t="str">
        <x:v>C001</x:v>
      </x:c>
      <x:c r="D9" s="8" t="n">
        <x:v>46289</x:v>
      </x:c>
      <x:c r="E9" s="8" t="n">
        <x:v>46319</x:v>
      </x:c>
      <x:c r="F9" s="6" t="n">
        <x:v>15000</x:v>
      </x:c>
      <x:c r="G9" s="6" t="n">
        <x:v>0</x:v>
      </x:c>
      <x:c r="H9" t="str">
        <x:v>Unpaid</x:v>
      </x:c>
      <x:c r="I9" s="8"/>
      <x:c r="J9" s="6" t="n">
        <x:f>F9-G9</x:f>
        <x:v>15000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32" hidden="0" customWidth="1"/>
    <x:col min="6" max="6" width="18" hidden="0" customWidth="1"/>
  </x:cols>
  <x:sheetData>
    <x:row r="1" ht="23" customHeight="1">
      <x:c r="A1" s="3" t="str">
        <x:v>Project ID</x:v>
      </x:c>
      <x:c r="B1" s="3" t="str">
        <x:v>Project Name</x:v>
      </x:c>
      <x:c r="C1" s="3" t="str">
        <x:v>Client ID</x:v>
      </x:c>
      <x:c r="D1" s="3" t="str">
        <x:v>Contract Value (THB)</x:v>
      </x:c>
      <x:c r="E1" s="3" t="str">
        <x:v>Budgeted Project Costs (THB)</x:v>
      </x:c>
      <x:c r="F1" s="3" t="str">
        <x:v>Project Status</x:v>
      </x:c>
    </x:row>
    <x:row r="2" ht="23" customHeight="1">
      <x:c r="A2" t="str">
        <x:v>P001</x:v>
      </x:c>
      <x:c r="B2" t="str">
        <x:v>Brand Identity Refresh</x:v>
      </x:c>
      <x:c r="C2" t="str">
        <x:v>C001</x:v>
      </x:c>
      <x:c r="D2" s="6" t="n">
        <x:v>32000</x:v>
      </x:c>
      <x:c r="E2" s="6" t="n">
        <x:v>9500</x:v>
      </x:c>
      <x:c r="F2" t="str">
        <x:v>Completed</x:v>
      </x:c>
    </x:row>
    <x:row r="3" ht="23" customHeight="1">
      <x:c r="A3" t="str">
        <x:v>P002</x:v>
      </x:c>
      <x:c r="B3" t="str">
        <x:v>Landing Page Design</x:v>
      </x:c>
      <x:c r="C3" t="str">
        <x:v>C002</x:v>
      </x:c>
      <x:c r="D3" s="6" t="n">
        <x:v>22000</x:v>
      </x:c>
      <x:c r="E3" s="6" t="n">
        <x:v>4200</x:v>
      </x:c>
      <x:c r="F3" t="str">
        <x:v>Completed</x:v>
      </x:c>
    </x:row>
    <x:row r="4" ht="23" customHeight="1">
      <x:c r="A4" t="str">
        <x:v>P003</x:v>
      </x:c>
      <x:c r="B4" t="str">
        <x:v>Monthly Social Content</x:v>
      </x:c>
      <x:c r="C4" t="str">
        <x:v>C003</x:v>
      </x:c>
      <x:c r="D4" s="6" t="n">
        <x:v>18000</x:v>
      </x:c>
      <x:c r="E4" s="6" t="n">
        <x:v>3000</x:v>
      </x:c>
      <x:c r="F4" t="str">
        <x:v>Completed</x:v>
      </x:c>
    </x:row>
    <x:row r="5" ht="23" customHeight="1">
      <x:c r="A5" t="str">
        <x:v>P004</x:v>
      </x:c>
      <x:c r="B5" t="str">
        <x:v>Product Video Editing</x:v>
      </x:c>
      <x:c r="C5" t="str">
        <x:v>C004</x:v>
      </x:c>
      <x:c r="D5" s="6" t="n">
        <x:v>28000</x:v>
      </x:c>
      <x:c r="E5" s="6" t="n">
        <x:v>7800</x:v>
      </x:c>
      <x:c r="F5" t="str">
        <x:v>Completed</x:v>
      </x:c>
    </x:row>
    <x:row r="6" ht="23" customHeight="1">
      <x:c r="A6" t="str">
        <x:v>P005</x:v>
      </x:c>
      <x:c r="B6" t="str">
        <x:v>Website UX Audit</x:v>
      </x:c>
      <x:c r="C6" t="str">
        <x:v>C005</x:v>
      </x:c>
      <x:c r="D6" s="6" t="n">
        <x:v>16000</x:v>
      </x:c>
      <x:c r="E6" s="6" t="n">
        <x:v>1800</x:v>
      </x:c>
      <x:c r="F6" t="str">
        <x:v>Completed</x:v>
      </x:c>
    </x:row>
    <x:row r="7" ht="23" customHeight="1">
      <x:c r="A7" t="str">
        <x:v>P006</x:v>
      </x:c>
      <x:c r="B7" t="str">
        <x:v>Newsletter Automation</x:v>
      </x:c>
      <x:c r="C7" t="str">
        <x:v>C006</x:v>
      </x:c>
      <x:c r="D7" s="6" t="n">
        <x:v>24000</x:v>
      </x:c>
      <x:c r="E7" s="6" t="n">
        <x:v>5000</x:v>
      </x:c>
      <x:c r="F7" t="str">
        <x:v>In Progress</x:v>
      </x:c>
    </x:row>
    <x:row r="8" ht="23" customHeight="1">
      <x:c r="A8" t="str">
        <x:v>P007</x:v>
      </x:c>
      <x:c r="B8" t="str">
        <x:v>Short-form Video Package</x:v>
      </x:c>
      <x:c r="C8" t="str">
        <x:v>C002</x:v>
      </x:c>
      <x:c r="D8" s="6" t="n">
        <x:v>12000</x:v>
      </x:c>
      <x:c r="E8" s="6" t="n">
        <x:v>2600</x:v>
      </x:c>
      <x:c r="F8" t="str">
        <x:v>In Progress</x:v>
      </x:c>
    </x:row>
    <x:row r="9" ht="23" customHeight="1">
      <x:c r="A9" t="str">
        <x:v>P008</x:v>
      </x:c>
      <x:c r="B9" t="str">
        <x:v>Campaign Analytics</x:v>
      </x:c>
      <x:c r="C9" t="str">
        <x:v>C001</x:v>
      </x:c>
      <x:c r="D9" s="6" t="n">
        <x:v>15000</x:v>
      </x:c>
      <x:c r="E9" s="6" t="n">
        <x:v>2300</x:v>
      </x:c>
      <x:c r="F9" t="str">
        <x:v>In Progress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7" hidden="0" customWidth="1"/>
  </x:cols>
  <x:sheetData>
    <x:row r="1" ht="23" customHeight="1">
      <x:c r="A1" s="3" t="str">
        <x:v>Client ID</x:v>
      </x:c>
      <x:c r="B1" s="3" t="str">
        <x:v>Client Name</x:v>
      </x:c>
      <x:c r="C1" s="3" t="str">
        <x:v>Email</x:v>
      </x:c>
      <x:c r="D1" s="3" t="str">
        <x:v>Payment Terms</x:v>
      </x:c>
    </x:row>
    <x:row r="2" ht="23" customHeight="1">
      <x:c r="A2" t="str">
        <x:v>C001</x:v>
      </x:c>
      <x:c r="B2" t="str">
        <x:v>Northstar Creative Ltd.</x:v>
      </x:c>
      <x:c r="C2" t="str">
        <x:v>hello@northstar.example</x:v>
      </x:c>
      <x:c r="D2" t="str">
        <x:v>Net 30</x:v>
      </x:c>
    </x:row>
    <x:row r="3" ht="23" customHeight="1">
      <x:c r="A3" t="str">
        <x:v>C002</x:v>
      </x:c>
      <x:c r="B3" t="str">
        <x:v>Bluebird Digital</x:v>
      </x:c>
      <x:c r="C3" t="str">
        <x:v>accounts@bluebird.example</x:v>
      </x:c>
      <x:c r="D3" t="str">
        <x:v>Net 15</x:v>
      </x:c>
    </x:row>
    <x:row r="4" ht="23" customHeight="1">
      <x:c r="A4" t="str">
        <x:v>C003</x:v>
      </x:c>
      <x:c r="B4" t="str">
        <x:v>Meridian Studio</x:v>
      </x:c>
      <x:c r="C4" t="str">
        <x:v>finance@meridian.example</x:v>
      </x:c>
      <x:c r="D4" t="str">
        <x:v>Net 30</x:v>
      </x:c>
    </x:row>
    <x:row r="5" ht="23" customHeight="1">
      <x:c r="A5" t="str">
        <x:v>C004</x:v>
      </x:c>
      <x:c r="B5" t="str">
        <x:v>Orbit Commerce</x:v>
      </x:c>
      <x:c r="C5" t="str">
        <x:v>pay@orbit.example</x:v>
      </x:c>
      <x:c r="D5" t="str">
        <x:v>Net 45</x:v>
      </x:c>
    </x:row>
    <x:row r="6" ht="23" customHeight="1">
      <x:c r="A6" t="str">
        <x:v>C005</x:v>
      </x:c>
      <x:c r="B6" t="str">
        <x:v>Cedar &amp; Co.</x:v>
      </x:c>
      <x:c r="C6" t="str">
        <x:v>billing@cedar.example</x:v>
      </x:c>
      <x:c r="D6" t="str">
        <x:v>Net 15</x:v>
      </x:c>
    </x:row>
    <x:row r="7" ht="23" customHeight="1">
      <x:c r="A7" t="str">
        <x:v>C006</x:v>
      </x:c>
      <x:c r="B7" t="str">
        <x:v>Greenfield Labs</x:v>
      </x:c>
      <x:c r="C7" t="str">
        <x:v>ap@greenfield.example</x:v>
      </x:c>
      <x:c r="D7" t="str">
        <x:v>Net 30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23" customHeight="1">
      <x:c r="A1" s="3" t="str">
        <x:v>Date</x:v>
      </x:c>
      <x:c r="B1" s="3" t="str">
        <x:v>Expense ID</x:v>
      </x:c>
      <x:c r="C1" s="3" t="str">
        <x:v>Category</x:v>
      </x:c>
      <x:c r="D1" s="3" t="str">
        <x:v>Description</x:v>
      </x:c>
      <x:c r="E1" s="3" t="str">
        <x:v>Use</x:v>
      </x:c>
      <x:c r="F1" s="3" t="str">
        <x:v>Project ID</x:v>
      </x:c>
      <x:c r="G1" s="3" t="str">
        <x:v>Amount (THB)</x:v>
      </x:c>
      <x:c r="H1" s="3" t="str">
        <x:v>Payment Method</x:v>
      </x:c>
    </x:row>
    <x:row r="2" ht="23" customHeight="1">
      <x:c r="A2" s="8" t="n">
        <x:v>46266</x:v>
      </x:c>
      <x:c r="B2" t="str">
        <x:v>E001</x:v>
      </x:c>
      <x:c r="C2" t="str">
        <x:v>Software &amp; Subscriptions</x:v>
      </x:c>
      <x:c r="D2" t="str">
        <x:v>Adobe Creative Cloud</x:v>
      </x:c>
      <x:c r="E2" t="str">
        <x:v>Business</x:v>
      </x:c>
      <x:c r="F2" t="str"/>
      <x:c r="G2" s="6" t="n">
        <x:v>1599</x:v>
      </x:c>
      <x:c r="H2" t="str">
        <x:v>Card</x:v>
      </x:c>
    </x:row>
    <x:row r="3" ht="23" customHeight="1">
      <x:c r="A3" s="8" t="n">
        <x:v>46267</x:v>
      </x:c>
      <x:c r="B3" t="str">
        <x:v>E002</x:v>
      </x:c>
      <x:c r="C3" t="str">
        <x:v>Internet &amp; Phone</x:v>
      </x:c>
      <x:c r="D3" t="str">
        <x:v>Home internet</x:v>
      </x:c>
      <x:c r="E3" t="str">
        <x:v>Business</x:v>
      </x:c>
      <x:c r="F3" t="str"/>
      <x:c r="G3" s="6" t="n">
        <x:v>799</x:v>
      </x:c>
      <x:c r="H3" t="str">
        <x:v>Bank</x:v>
      </x:c>
    </x:row>
    <x:row r="4" ht="23" customHeight="1">
      <x:c r="A4" s="8" t="n">
        <x:v>46268</x:v>
      </x:c>
      <x:c r="B4" t="str">
        <x:v>E003</x:v>
      </x:c>
      <x:c r="C4" t="str">
        <x:v>Project Materials</x:v>
      </x:c>
      <x:c r="D4" t="str">
        <x:v>Stock photos for Northstar</x:v>
      </x:c>
      <x:c r="E4" t="str">
        <x:v>Business</x:v>
      </x:c>
      <x:c r="F4" t="str">
        <x:v>P001</x:v>
      </x:c>
      <x:c r="G4" s="6" t="n">
        <x:v>1800</x:v>
      </x:c>
      <x:c r="H4" t="str">
        <x:v>Card</x:v>
      </x:c>
    </x:row>
    <x:row r="5" ht="23" customHeight="1">
      <x:c r="A5" s="8" t="n">
        <x:v>46269</x:v>
      </x:c>
      <x:c r="B5" t="str">
        <x:v>E004</x:v>
      </x:c>
      <x:c r="C5" t="str">
        <x:v>Meals</x:v>
      </x:c>
      <x:c r="D5" t="str">
        <x:v>Lunch</x:v>
      </x:c>
      <x:c r="E5" t="str">
        <x:v>Personal</x:v>
      </x:c>
      <x:c r="F5" t="str"/>
      <x:c r="G5" s="6" t="n">
        <x:v>180</x:v>
      </x:c>
      <x:c r="H5" t="str">
        <x:v>Cash</x:v>
      </x:c>
    </x:row>
    <x:row r="6" ht="23" customHeight="1">
      <x:c r="A6" s="8" t="n">
        <x:v>46270</x:v>
      </x:c>
      <x:c r="B6" t="str">
        <x:v>E005</x:v>
      </x:c>
      <x:c r="C6" t="str">
        <x:v>Software &amp; Subscriptions</x:v>
      </x:c>
      <x:c r="D6" t="str">
        <x:v>Figma subscription</x:v>
      </x:c>
      <x:c r="E6" t="str">
        <x:v>Business</x:v>
      </x:c>
      <x:c r="F6" t="str"/>
      <x:c r="G6" s="6" t="n">
        <x:v>550</x:v>
      </x:c>
      <x:c r="H6" t="str">
        <x:v>Card</x:v>
      </x:c>
    </x:row>
    <x:row r="7" ht="23" customHeight="1">
      <x:c r="A7" s="8" t="n">
        <x:v>46271</x:v>
      </x:c>
      <x:c r="B7" t="str">
        <x:v>E006</x:v>
      </x:c>
      <x:c r="C7" t="str">
        <x:v>Transport</x:v>
      </x:c>
      <x:c r="D7" t="str">
        <x:v>Taxi to client meeting</x:v>
      </x:c>
      <x:c r="E7" t="str">
        <x:v>Business</x:v>
      </x:c>
      <x:c r="F7" t="str">
        <x:v>P002</x:v>
      </x:c>
      <x:c r="G7" s="6" t="n">
        <x:v>320</x:v>
      </x:c>
      <x:c r="H7" t="str">
        <x:v>Bank</x:v>
      </x:c>
    </x:row>
    <x:row r="8" ht="23" customHeight="1">
      <x:c r="A8" s="8" t="n">
        <x:v>46272</x:v>
      </x:c>
      <x:c r="B8" t="str">
        <x:v>E007</x:v>
      </x:c>
      <x:c r="C8" t="str">
        <x:v>Rent &amp; Utilities</x:v>
      </x:c>
      <x:c r="D8" t="str">
        <x:v>Studio rent</x:v>
      </x:c>
      <x:c r="E8" t="str">
        <x:v>Business</x:v>
      </x:c>
      <x:c r="F8" t="str"/>
      <x:c r="G8" s="6" t="n">
        <x:v>6000</x:v>
      </x:c>
      <x:c r="H8" t="str">
        <x:v>Bank</x:v>
      </x:c>
    </x:row>
    <x:row r="9" ht="23" customHeight="1">
      <x:c r="A9" s="8" t="n">
        <x:v>46273</x:v>
      </x:c>
      <x:c r="B9" t="str">
        <x:v>E008</x:v>
      </x:c>
      <x:c r="C9" t="str">
        <x:v>Project Materials</x:v>
      </x:c>
      <x:c r="D9" t="str">
        <x:v>Motion templates</x:v>
      </x:c>
      <x:c r="E9" t="str">
        <x:v>Business</x:v>
      </x:c>
      <x:c r="F9" t="str">
        <x:v>P004</x:v>
      </x:c>
      <x:c r="G9" s="6" t="n">
        <x:v>2250</x:v>
      </x:c>
      <x:c r="H9" t="str">
        <x:v>Card</x:v>
      </x:c>
    </x:row>
    <x:row r="10" ht="23" customHeight="1">
      <x:c r="A10" s="8" t="n">
        <x:v>46274</x:v>
      </x:c>
      <x:c r="B10" t="str">
        <x:v>E009</x:v>
      </x:c>
      <x:c r="C10" t="str">
        <x:v>Groceries</x:v>
      </x:c>
      <x:c r="D10" t="str">
        <x:v>Supermarket</x:v>
      </x:c>
      <x:c r="E10" t="str">
        <x:v>Personal</x:v>
      </x:c>
      <x:c r="F10" t="str"/>
      <x:c r="G10" s="6" t="n">
        <x:v>1240</x:v>
      </x:c>
      <x:c r="H10" t="str">
        <x:v>Card</x:v>
      </x:c>
    </x:row>
    <x:row r="11" ht="23" customHeight="1">
      <x:c r="A11" s="8" t="n">
        <x:v>46275</x:v>
      </x:c>
      <x:c r="B11" t="str">
        <x:v>E010</x:v>
      </x:c>
      <x:c r="C11" t="str">
        <x:v>Marketing</x:v>
      </x:c>
      <x:c r="D11" t="str">
        <x:v>Portfolio ads</x:v>
      </x:c>
      <x:c r="E11" t="str">
        <x:v>Business</x:v>
      </x:c>
      <x:c r="F11" t="str"/>
      <x:c r="G11" s="6" t="n">
        <x:v>1200</x:v>
      </x:c>
      <x:c r="H11" t="str">
        <x:v>Card</x:v>
      </x:c>
    </x:row>
    <x:row r="12" ht="23" customHeight="1">
      <x:c r="A12" s="8" t="n">
        <x:v>46276</x:v>
      </x:c>
      <x:c r="B12" t="str">
        <x:v>E011</x:v>
      </x:c>
      <x:c r="C12" t="str">
        <x:v>Contractors</x:v>
      </x:c>
      <x:c r="D12" t="str">
        <x:v>Audio mix contractor</x:v>
      </x:c>
      <x:c r="E12" t="str">
        <x:v>Business</x:v>
      </x:c>
      <x:c r="F12" t="str">
        <x:v>P004</x:v>
      </x:c>
      <x:c r="G12" s="6" t="n">
        <x:v>4200</x:v>
      </x:c>
      <x:c r="H12" t="str">
        <x:v>Bank</x:v>
      </x:c>
    </x:row>
    <x:row r="13" ht="23" customHeight="1">
      <x:c r="A13" s="8" t="n">
        <x:v>46277</x:v>
      </x:c>
      <x:c r="B13" t="str">
        <x:v>E012</x:v>
      </x:c>
      <x:c r="C13" t="str">
        <x:v>Utilities</x:v>
      </x:c>
      <x:c r="D13" t="str">
        <x:v>Electricity</x:v>
      </x:c>
      <x:c r="E13" t="str">
        <x:v>Business</x:v>
      </x:c>
      <x:c r="F13" t="str"/>
      <x:c r="G13" s="6" t="n">
        <x:v>980</x:v>
      </x:c>
      <x:c r="H13" t="str">
        <x:v>Bank</x:v>
      </x:c>
    </x:row>
    <x:row r="14" ht="23" customHeight="1">
      <x:c r="A14" s="8" t="n">
        <x:v>46278</x:v>
      </x:c>
      <x:c r="B14" t="str">
        <x:v>E013</x:v>
      </x:c>
      <x:c r="C14" t="str">
        <x:v>Travel</x:v>
      </x:c>
      <x:c r="D14" t="str">
        <x:v>Weekend leisure travel</x:v>
      </x:c>
      <x:c r="E14" t="str">
        <x:v>Personal</x:v>
      </x:c>
      <x:c r="F14" t="str"/>
      <x:c r="G14" s="6" t="n">
        <x:v>1700</x:v>
      </x:c>
      <x:c r="H14" t="str">
        <x:v>Card</x:v>
      </x:c>
    </x:row>
    <x:row r="15" ht="23" customHeight="1">
      <x:c r="A15" s="8" t="n">
        <x:v>46279</x:v>
      </x:c>
      <x:c r="B15" t="str">
        <x:v>E014</x:v>
      </x:c>
      <x:c r="C15" t="str">
        <x:v>Equipment</x:v>
      </x:c>
      <x:c r="D15" t="str">
        <x:v>Wireless microphone</x:v>
      </x:c>
      <x:c r="E15" t="str">
        <x:v>Business</x:v>
      </x:c>
      <x:c r="F15" t="str">
        <x:v>P004</x:v>
      </x:c>
      <x:c r="G15" s="6" t="n">
        <x:v>1350</x:v>
      </x:c>
      <x:c r="H15" t="str">
        <x:v>Card</x:v>
      </x:c>
    </x:row>
    <x:row r="16" ht="23" customHeight="1">
      <x:c r="A16" s="8" t="n">
        <x:v>46280</x:v>
      </x:c>
      <x:c r="B16" t="str">
        <x:v>E015</x:v>
      </x:c>
      <x:c r="C16" t="str">
        <x:v>Software &amp; Subscriptions</x:v>
      </x:c>
      <x:c r="D16" t="str">
        <x:v>Cloud storage</x:v>
      </x:c>
      <x:c r="E16" t="str">
        <x:v>Business</x:v>
      </x:c>
      <x:c r="F16" t="str"/>
      <x:c r="G16" s="6" t="n">
        <x:v>329</x:v>
      </x:c>
      <x:c r="H16" t="str">
        <x:v>Card</x:v>
      </x:c>
    </x:row>
    <x:row r="17" ht="23" customHeight="1">
      <x:c r="A17" s="8" t="n">
        <x:v>46281</x:v>
      </x:c>
      <x:c r="B17" t="str">
        <x:v>E016</x:v>
      </x:c>
      <x:c r="C17" t="str">
        <x:v>Project Materials</x:v>
      </x:c>
      <x:c r="D17" t="str">
        <x:v>Illustration assets</x:v>
      </x:c>
      <x:c r="E17" t="str">
        <x:v>Business</x:v>
      </x:c>
      <x:c r="F17" t="str">
        <x:v>P001</x:v>
      </x:c>
      <x:c r="G17" s="6" t="n">
        <x:v>1700</x:v>
      </x:c>
      <x:c r="H17" t="str">
        <x:v>Card</x:v>
      </x:c>
    </x:row>
    <x:row r="18" ht="23" customHeight="1">
      <x:c r="A18" s="8" t="n">
        <x:v>46282</x:v>
      </x:c>
      <x:c r="B18" t="str">
        <x:v>E017</x:v>
      </x:c>
      <x:c r="C18" t="str">
        <x:v>Education</x:v>
      </x:c>
      <x:c r="D18" t="str">
        <x:v>Online design course</x:v>
      </x:c>
      <x:c r="E18" t="str">
        <x:v>Business</x:v>
      </x:c>
      <x:c r="F18" t="str"/>
      <x:c r="G18" s="6" t="n">
        <x:v>900</x:v>
      </x:c>
      <x:c r="H18" t="str">
        <x:v>Card</x:v>
      </x:c>
    </x:row>
    <x:row r="19" ht="23" customHeight="1">
      <x:c r="A19" s="8" t="n">
        <x:v>46283</x:v>
      </x:c>
      <x:c r="B19" t="str">
        <x:v>E018</x:v>
      </x:c>
      <x:c r="C19" t="str">
        <x:v>Transport</x:v>
      </x:c>
      <x:c r="D19" t="str">
        <x:v>Client visit commute</x:v>
      </x:c>
      <x:c r="E19" t="str">
        <x:v>Business</x:v>
      </x:c>
      <x:c r="F19" t="str">
        <x:v>P005</x:v>
      </x:c>
      <x:c r="G19" s="6" t="n">
        <x:v>280</x:v>
      </x:c>
      <x:c r="H19" t="str">
        <x:v>Cash</x:v>
      </x:c>
    </x:row>
    <x:row r="20" ht="23" customHeight="1">
      <x:c r="A20" s="8" t="n">
        <x:v>46284</x:v>
      </x:c>
      <x:c r="B20" t="str">
        <x:v>E019</x:v>
      </x:c>
      <x:c r="C20" t="str">
        <x:v>Meals</x:v>
      </x:c>
      <x:c r="D20" t="str">
        <x:v>Dinner</x:v>
      </x:c>
      <x:c r="E20" t="str">
        <x:v>Personal</x:v>
      </x:c>
      <x:c r="F20" t="str"/>
      <x:c r="G20" s="6" t="n">
        <x:v>330</x:v>
      </x:c>
      <x:c r="H20" t="str">
        <x:v>Cash</x:v>
      </x:c>
    </x:row>
    <x:row r="21" ht="23" customHeight="1">
      <x:c r="A21" s="8" t="n">
        <x:v>46285</x:v>
      </x:c>
      <x:c r="B21" t="str">
        <x:v>E020</x:v>
      </x:c>
      <x:c r="C21" t="str">
        <x:v>Contractors</x:v>
      </x:c>
      <x:c r="D21" t="str">
        <x:v>Junior editing support</x:v>
      </x:c>
      <x:c r="E21" t="str">
        <x:v>Business</x:v>
      </x:c>
      <x:c r="F21" t="str">
        <x:v>P007</x:v>
      </x:c>
      <x:c r="G21" s="6" t="n">
        <x:v>2600</x:v>
      </x:c>
      <x:c r="H21" t="str">
        <x:v>Bank</x:v>
      </x:c>
    </x:row>
    <x:row r="22" ht="23" customHeight="1">
      <x:c r="A22" s="8" t="n">
        <x:v>46286</x:v>
      </x:c>
      <x:c r="B22" t="str">
        <x:v>E021</x:v>
      </x:c>
      <x:c r="C22" t="str">
        <x:v>Project Materials</x:v>
      </x:c>
      <x:c r="D22" t="str">
        <x:v>Automation testing service</x:v>
      </x:c>
      <x:c r="E22" t="str">
        <x:v>Business</x:v>
      </x:c>
      <x:c r="F22" t="str">
        <x:v>P006</x:v>
      </x:c>
      <x:c r="G22" s="6" t="n">
        <x:v>1250</x:v>
      </x:c>
      <x:c r="H22" t="str">
        <x:v>Card</x:v>
      </x:c>
    </x:row>
    <x:row r="23" ht="23" customHeight="1">
      <x:c r="A23" s="8" t="n">
        <x:v>46287</x:v>
      </x:c>
      <x:c r="B23" t="str">
        <x:v>E022</x:v>
      </x:c>
      <x:c r="C23" t="str">
        <x:v>Groceries</x:v>
      </x:c>
      <x:c r="D23" t="str">
        <x:v>Weekly grocery shop</x:v>
      </x:c>
      <x:c r="E23" t="str">
        <x:v>Personal</x:v>
      </x:c>
      <x:c r="F23" t="str"/>
      <x:c r="G23" s="6" t="n">
        <x:v>1570</x:v>
      </x:c>
      <x:c r="H23" t="str">
        <x:v>Card</x:v>
      </x:c>
    </x:row>
    <x:row r="24" ht="23" customHeight="1">
      <x:c r="A24" s="8" t="n">
        <x:v>46288</x:v>
      </x:c>
      <x:c r="B24" t="str">
        <x:v>E023</x:v>
      </x:c>
      <x:c r="C24" t="str">
        <x:v>Project Materials</x:v>
      </x:c>
      <x:c r="D24" t="str">
        <x:v>Research participant stipend</x:v>
      </x:c>
      <x:c r="E24" t="str">
        <x:v>Business</x:v>
      </x:c>
      <x:c r="F24" t="str">
        <x:v>P005</x:v>
      </x:c>
      <x:c r="G24" s="6" t="n">
        <x:v>800</x:v>
      </x:c>
      <x:c r="H24" t="str">
        <x:v>Bank</x:v>
      </x:c>
    </x:row>
    <x:row r="25" ht="23" customHeight="1">
      <x:c r="A25" s="8" t="n">
        <x:v>46289</x:v>
      </x:c>
      <x:c r="B25" t="str">
        <x:v>E024</x:v>
      </x:c>
      <x:c r="C25" t="str">
        <x:v>Equipment</x:v>
      </x:c>
      <x:c r="D25" t="str">
        <x:v>Laptop stand</x:v>
      </x:c>
      <x:c r="E25" t="str">
        <x:v>Business</x:v>
      </x:c>
      <x:c r="F25" t="str"/>
      <x:c r="G25" s="6" t="n">
        <x:v>790</x:v>
      </x:c>
      <x:c r="H25" t="str">
        <x:v>Card</x:v>
      </x:c>
    </x:row>
    <x:row r="26" ht="23" customHeight="1">
      <x:c r="A26" s="8" t="n">
        <x:v>46290</x:v>
      </x:c>
      <x:c r="B26" t="str">
        <x:v>E025</x:v>
      </x:c>
      <x:c r="C26" t="str">
        <x:v>Project Materials</x:v>
      </x:c>
      <x:c r="D26" t="str">
        <x:v>Content templates</x:v>
      </x:c>
      <x:c r="E26" t="str">
        <x:v>Business</x:v>
      </x:c>
      <x:c r="F26" t="str">
        <x:v>P003</x:v>
      </x:c>
      <x:c r="G26" s="6" t="n">
        <x:v>980</x:v>
      </x:c>
      <x:c r="H26" t="str">
        <x:v>Card</x:v>
      </x:c>
    </x:row>
    <x:row r="27" ht="23" customHeight="1">
      <x:c r="A27" s="8" t="n">
        <x:v>46291</x:v>
      </x:c>
      <x:c r="B27" t="str">
        <x:v>E026</x:v>
      </x:c>
      <x:c r="C27" t="str">
        <x:v>Transport</x:v>
      </x:c>
      <x:c r="D27" t="str">
        <x:v>Commuter rail</x:v>
      </x:c>
      <x:c r="E27" t="str">
        <x:v>Personal</x:v>
      </x:c>
      <x:c r="F27" t="str"/>
      <x:c r="G27" s="6" t="n">
        <x:v>120</x:v>
      </x:c>
      <x:c r="H27" t="str">
        <x:v>Cash</x:v>
      </x:c>
    </x:row>
    <x:row r="28" ht="23" customHeight="1">
      <x:c r="A28" s="8" t="n">
        <x:v>46292</x:v>
      </x:c>
      <x:c r="B28" t="str">
        <x:v>E027</x:v>
      </x:c>
      <x:c r="C28" t="str">
        <x:v>Software &amp; Subscriptions</x:v>
      </x:c>
      <x:c r="D28" t="str">
        <x:v>AI transcription tool</x:v>
      </x:c>
      <x:c r="E28" t="str">
        <x:v>Business</x:v>
      </x:c>
      <x:c r="F28" t="str"/>
      <x:c r="G28" s="6" t="n">
        <x:v>420</x:v>
      </x:c>
      <x:c r="H28" t="str">
        <x:v>Card</x:v>
      </x:c>
    </x:row>
    <x:row r="29" ht="23" customHeight="1">
      <x:c r="A29" s="8" t="n">
        <x:v>46293</x:v>
      </x:c>
      <x:c r="B29" t="str">
        <x:v>E028</x:v>
      </x:c>
      <x:c r="C29" t="str">
        <x:v>Project Materials</x:v>
      </x:c>
      <x:c r="D29" t="str">
        <x:v>Dashboard visualization pack</x:v>
      </x:c>
      <x:c r="E29" t="str">
        <x:v>Business</x:v>
      </x:c>
      <x:c r="F29" t="str">
        <x:v>P008</x:v>
      </x:c>
      <x:c r="G29" s="6" t="n">
        <x:v>550</x:v>
      </x:c>
      <x:c r="H29" t="str">
        <x:v>Card</x:v>
      </x:c>
    </x:row>
    <x:row r="30" ht="23" customHeight="1">
      <x:c r="A30" s="8" t="n">
        <x:v>46294</x:v>
      </x:c>
      <x:c r="B30" t="str">
        <x:v>E029</x:v>
      </x:c>
      <x:c r="C30" t="str">
        <x:v>Insurance</x:v>
      </x:c>
      <x:c r="D30" t="str">
        <x:v>Health insurance</x:v>
      </x:c>
      <x:c r="E30" t="str">
        <x:v>Personal</x:v>
      </x:c>
      <x:c r="F30" t="str"/>
      <x:c r="G30" s="6" t="n">
        <x:v>2500</x:v>
      </x:c>
      <x:c r="H30" t="str">
        <x:v>Bank</x:v>
      </x:c>
    </x:row>
    <x:row r="31" ht="23" customHeight="1">
      <x:c r="A31" s="8" t="n">
        <x:v>46295</x:v>
      </x:c>
      <x:c r="B31" t="str">
        <x:v>E030</x:v>
      </x:c>
      <x:c r="C31" t="str">
        <x:v>Bank Fees</x:v>
      </x:c>
      <x:c r="D31" t="str">
        <x:v>Business banking fees</x:v>
      </x:c>
      <x:c r="E31" t="str">
        <x:v>Business</x:v>
      </x:c>
      <x:c r="F31" t="str"/>
      <x:c r="G31" s="6" t="n">
        <x:v>95</x:v>
      </x:c>
      <x:c r="H31" t="str">
        <x:v>Bank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</x:cols>
  <x:sheetData>
    <x:row r="1" ht="23" customHeight="1">
      <x:c r="A1" s="3" t="str">
        <x:v>Category</x:v>
      </x:c>
      <x:c r="B1" s="3" t="str">
        <x:v>Accounting Treatment</x:v>
      </x:c>
    </x:row>
    <x:row r="2" ht="23" customHeight="1">
      <x:c r="A2" t="str">
        <x:v>Bank Fees</x:v>
      </x:c>
      <x:c r="B2" t="str">
        <x:v>Business expense</x:v>
      </x:c>
    </x:row>
    <x:row r="3" ht="23" customHeight="1">
      <x:c r="A3" t="str">
        <x:v>Contractors</x:v>
      </x:c>
      <x:c r="B3" t="str">
        <x:v>Business expense</x:v>
      </x:c>
    </x:row>
    <x:row r="4" ht="23" customHeight="1">
      <x:c r="A4" t="str">
        <x:v>Education</x:v>
      </x:c>
      <x:c r="B4" t="str">
        <x:v>Business expense</x:v>
      </x:c>
    </x:row>
    <x:row r="5" ht="23" customHeight="1">
      <x:c r="A5" t="str">
        <x:v>Equipment</x:v>
      </x:c>
      <x:c r="B5" t="str">
        <x:v>Business expense</x:v>
      </x:c>
    </x:row>
    <x:row r="6" ht="23" customHeight="1">
      <x:c r="A6" t="str">
        <x:v>Internet &amp; Phone</x:v>
      </x:c>
      <x:c r="B6" t="str">
        <x:v>Business expense</x:v>
      </x:c>
    </x:row>
    <x:row r="7" ht="23" customHeight="1">
      <x:c r="A7" t="str">
        <x:v>Marketing</x:v>
      </x:c>
      <x:c r="B7" t="str">
        <x:v>Business expense</x:v>
      </x:c>
    </x:row>
    <x:row r="8" ht="23" customHeight="1">
      <x:c r="A8" t="str">
        <x:v>Project Materials</x:v>
      </x:c>
      <x:c r="B8" t="str">
        <x:v>Business expense</x:v>
      </x:c>
    </x:row>
    <x:row r="9" ht="23" customHeight="1">
      <x:c r="A9" t="str">
        <x:v>Rent &amp; Utilities</x:v>
      </x:c>
      <x:c r="B9" t="str">
        <x:v>Business expense</x:v>
      </x:c>
    </x:row>
    <x:row r="10" ht="23" customHeight="1">
      <x:c r="A10" t="str">
        <x:v>Software &amp; Subscriptions</x:v>
      </x:c>
      <x:c r="B10" t="str">
        <x:v>Business expense</x:v>
      </x:c>
    </x:row>
    <x:row r="11" ht="23" customHeight="1">
      <x:c r="A11" t="str">
        <x:v>Transport</x:v>
      </x:c>
      <x:c r="B11" t="str">
        <x:v>Business expense</x:v>
      </x:c>
    </x:row>
    <x:row r="12" ht="23" customHeight="1">
      <x:c r="A12" t="str">
        <x:v>Utilities</x:v>
      </x:c>
      <x:c r="B12" t="str">
        <x:v>Business expense</x:v>
      </x:c>
    </x:row>
    <x:row r="13" ht="23" customHeight="1">
      <x:c r="A13" t="str">
        <x:v>Groceries</x:v>
      </x:c>
      <x:c r="B13" t="str">
        <x:v>Personal expense</x:v>
      </x:c>
    </x:row>
    <x:row r="14" ht="23" customHeight="1">
      <x:c r="A14" t="str">
        <x:v>Insurance</x:v>
      </x:c>
      <x:c r="B14" t="str">
        <x:v>Personal expense</x:v>
      </x:c>
    </x:row>
    <x:row r="15" ht="23" customHeight="1">
      <x:c r="A15" t="str">
        <x:v>Meals</x:v>
      </x:c>
      <x:c r="B15" t="str">
        <x:v>Personal expense</x:v>
      </x:c>
    </x:row>
    <x:row r="16" ht="23" customHeight="1">
      <x:c r="A16" t="str">
        <x:v>Transport</x:v>
      </x:c>
      <x:c r="B16" t="str">
        <x:v>Personal expense</x:v>
      </x:c>
    </x:row>
    <x:row r="17" ht="23" customHeight="1">
      <x:c r="A17" t="str">
        <x:v>Travel</x:v>
      </x:c>
      <x:c r="B17" t="str">
        <x:v>Personal expense</x:v>
      </x:c>
    </x:row>
    <x:row r="18" ht="23" customHeight="1">
      <x:c r="A18" t="str">
        <x:v>Owner Transfer</x:v>
      </x:c>
      <x:c r="B18" t="str">
        <x:v>Transfer, not expense</x:v>
      </x:c>
    </x:row>
    <x:row r="19" ht="23" customHeight="1">
      <x:c r="A19" t="str">
        <x:v>Client Payments</x:v>
      </x:c>
      <x:c r="B19" t="str">
        <x:v>Cash received</x:v>
      </x:c>
    </x:row>
  </x:sheetData>
  <x:pageMargins left="0.7" right="0.7" top="0.75" bottom="0.75" header="0.3" footer="0.3"/>
</x:worksheet>
</file>